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ktimm/University of Michigan Dropbox/Raktim Mukherjee/Raktim_Data/081125_Bridge's lab/Bridges_liver&amp;eWAT_Histo/"/>
    </mc:Choice>
  </mc:AlternateContent>
  <xr:revisionPtr revIDLastSave="0" documentId="13_ncr:1_{F0428F75-9FC5-144E-A09E-3942C71AB048}" xr6:coauthVersionLast="47" xr6:coauthVersionMax="47" xr10:uidLastSave="{00000000-0000-0000-0000-000000000000}"/>
  <bookViews>
    <workbookView xWindow="760" yWindow="500" windowWidth="28040" windowHeight="15800" xr2:uid="{EF067034-545A-E34B-A9EC-B98B2E2BC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1" l="1"/>
  <c r="U28" i="1" s="1"/>
  <c r="N28" i="1"/>
  <c r="N27" i="1"/>
  <c r="N12" i="1"/>
  <c r="N8" i="1"/>
  <c r="H9" i="1"/>
  <c r="H20" i="1"/>
  <c r="H17" i="1"/>
  <c r="H18" i="1"/>
  <c r="H19" i="1"/>
  <c r="H21" i="1"/>
  <c r="H22" i="1"/>
  <c r="H23" i="1"/>
  <c r="U23" i="1" s="1"/>
  <c r="H24" i="1"/>
  <c r="H25" i="1"/>
  <c r="U25" i="1" s="1"/>
  <c r="H26" i="1"/>
  <c r="U26" i="1" s="1"/>
  <c r="H27" i="1"/>
  <c r="U27" i="1" s="1"/>
  <c r="H28" i="1"/>
  <c r="U24" i="1"/>
  <c r="N23" i="1"/>
  <c r="N24" i="1"/>
  <c r="N25" i="1"/>
  <c r="N26" i="1"/>
  <c r="N22" i="1"/>
  <c r="U17" i="1"/>
  <c r="U16" i="1"/>
  <c r="T16" i="1"/>
  <c r="T15" i="1"/>
  <c r="U15" i="1"/>
  <c r="N16" i="1"/>
  <c r="N15" i="1"/>
  <c r="H16" i="1"/>
  <c r="H15" i="1"/>
  <c r="T27" i="1"/>
  <c r="T26" i="1"/>
  <c r="T14" i="1"/>
  <c r="U14" i="1" s="1"/>
  <c r="N14" i="1"/>
  <c r="H14" i="1"/>
  <c r="T13" i="1"/>
  <c r="U13" i="1"/>
  <c r="N13" i="1"/>
  <c r="H13" i="1"/>
  <c r="T25" i="1"/>
  <c r="T24" i="1"/>
  <c r="T23" i="1"/>
  <c r="N7" i="1"/>
  <c r="T7" i="1"/>
  <c r="H7" i="1"/>
  <c r="H37" i="1"/>
  <c r="H38" i="1"/>
  <c r="H39" i="1"/>
  <c r="H40" i="1"/>
  <c r="N38" i="1"/>
  <c r="N39" i="1"/>
  <c r="N40" i="1"/>
  <c r="T38" i="1"/>
  <c r="T39" i="1"/>
  <c r="T40" i="1"/>
  <c r="N37" i="1"/>
  <c r="T37" i="1"/>
  <c r="T32" i="1"/>
  <c r="T33" i="1"/>
  <c r="T34" i="1"/>
  <c r="N32" i="1"/>
  <c r="N33" i="1"/>
  <c r="N34" i="1"/>
  <c r="H31" i="1"/>
  <c r="H32" i="1"/>
  <c r="H33" i="1"/>
  <c r="H34" i="1"/>
  <c r="T31" i="1"/>
  <c r="N31" i="1"/>
  <c r="T19" i="1"/>
  <c r="T20" i="1"/>
  <c r="T21" i="1"/>
  <c r="T22" i="1"/>
  <c r="N19" i="1"/>
  <c r="N20" i="1"/>
  <c r="N21" i="1"/>
  <c r="T9" i="1"/>
  <c r="T10" i="1"/>
  <c r="T11" i="1"/>
  <c r="T12" i="1"/>
  <c r="N9" i="1"/>
  <c r="N10" i="1"/>
  <c r="N11" i="1"/>
  <c r="H10" i="1"/>
  <c r="H11" i="1"/>
  <c r="H12" i="1"/>
  <c r="T8" i="1"/>
  <c r="T17" i="1"/>
  <c r="T18" i="1"/>
  <c r="T29" i="1"/>
  <c r="T30" i="1"/>
  <c r="T35" i="1"/>
  <c r="T36" i="1"/>
  <c r="N17" i="1"/>
  <c r="N18" i="1"/>
  <c r="N29" i="1"/>
  <c r="N30" i="1"/>
  <c r="N35" i="1"/>
  <c r="N36" i="1"/>
  <c r="H8" i="1"/>
  <c r="H29" i="1"/>
  <c r="H30" i="1"/>
  <c r="H35" i="1"/>
  <c r="H36" i="1"/>
  <c r="U22" i="1" l="1"/>
  <c r="U34" i="1"/>
  <c r="U20" i="1"/>
  <c r="U33" i="1"/>
  <c r="U32" i="1"/>
  <c r="U40" i="1"/>
  <c r="U21" i="1"/>
  <c r="U31" i="1"/>
  <c r="U39" i="1"/>
  <c r="U38" i="1"/>
  <c r="U19" i="1"/>
  <c r="U37" i="1"/>
  <c r="U11" i="1"/>
  <c r="U10" i="1"/>
  <c r="U12" i="1"/>
  <c r="U9" i="1"/>
  <c r="U29" i="1"/>
  <c r="U36" i="1"/>
  <c r="U35" i="1"/>
  <c r="U7" i="1"/>
  <c r="U30" i="1"/>
  <c r="U18" i="1"/>
  <c r="U8" i="1"/>
</calcChain>
</file>

<file path=xl/sharedStrings.xml><?xml version="1.0" encoding="utf-8"?>
<sst xmlns="http://schemas.openxmlformats.org/spreadsheetml/2006/main" count="17" uniqueCount="15">
  <si>
    <t>ID</t>
  </si>
  <si>
    <t>Steatosis</t>
  </si>
  <si>
    <t>Average</t>
  </si>
  <si>
    <t>Lobular inflammation</t>
  </si>
  <si>
    <t>Hepatocellular balooning</t>
  </si>
  <si>
    <t>Total score</t>
  </si>
  <si>
    <t>Group</t>
  </si>
  <si>
    <t>HFD CUS</t>
  </si>
  <si>
    <t>HFD CON</t>
  </si>
  <si>
    <t>NCD CUS</t>
  </si>
  <si>
    <t>NCD CON</t>
  </si>
  <si>
    <t>HFD CUS: 406, 451, 448, 449, 792, 795</t>
  </si>
  <si>
    <t>NCD CUS: 475, 581, 473, 474, 583, 584</t>
  </si>
  <si>
    <t>NCD CON: 498, 586, 497,500, 587, 588</t>
  </si>
  <si>
    <t>HFD CON: 444, 447, 401, 5997,5998, 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</si>
</sst>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ptos Narrow"/>
      <scheme val="minor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8328-15F7-6C48-868C-1BB01FF0DB6E}">
  <dimension ref="A1:V40"/>
  <sheetViews>
    <sheetView tabSelected="1" topLeftCell="O1" workbookViewId="0">
      <selection activeCell="U17" sqref="U17:U28"/>
    </sheetView>
  </sheetViews>
  <sheetFormatPr baseColWidth="10" defaultRowHeight="16" x14ac:dyDescent="0.2"/>
  <cols>
    <col min="2" max="2" width="21" customWidth="1"/>
    <col min="9" max="14" width="17.5" customWidth="1"/>
    <col min="15" max="19" width="19.6640625" customWidth="1"/>
  </cols>
  <sheetData>
    <row r="1" spans="1:22" x14ac:dyDescent="0.2">
      <c r="B1" t="s">
        <v>11</v>
      </c>
    </row>
    <row r="2" spans="1:22" x14ac:dyDescent="0.2">
      <c r="B2" t="s">
        <v>14</v>
      </c>
    </row>
    <row r="3" spans="1:22" x14ac:dyDescent="0.2">
      <c r="B3" t="s">
        <v>12</v>
      </c>
    </row>
    <row r="4" spans="1:22" x14ac:dyDescent="0.2">
      <c r="B4" t="s">
        <v>13</v>
      </c>
    </row>
    <row r="6" spans="1:22" ht="34" customHeight="1" x14ac:dyDescent="0.2">
      <c r="A6" s="2" t="s">
        <v>6</v>
      </c>
      <c r="B6" s="1" t="s">
        <v>0</v>
      </c>
      <c r="C6" s="16" t="s">
        <v>1</v>
      </c>
      <c r="D6" s="16"/>
      <c r="E6" s="16"/>
      <c r="F6" s="16"/>
      <c r="G6" s="16"/>
      <c r="H6" s="3" t="s">
        <v>2</v>
      </c>
      <c r="I6" s="15" t="s">
        <v>3</v>
      </c>
      <c r="J6" s="15"/>
      <c r="K6" s="15"/>
      <c r="L6" s="15"/>
      <c r="M6" s="15"/>
      <c r="N6" s="1" t="s">
        <v>2</v>
      </c>
      <c r="O6" s="16" t="s">
        <v>4</v>
      </c>
      <c r="P6" s="16"/>
      <c r="Q6" s="16"/>
      <c r="R6" s="16"/>
      <c r="S6" s="16"/>
      <c r="T6" s="3" t="s">
        <v>2</v>
      </c>
      <c r="U6" s="1" t="s">
        <v>5</v>
      </c>
    </row>
    <row r="7" spans="1:22" s="6" customFormat="1" x14ac:dyDescent="0.2">
      <c r="A7" s="17" t="s">
        <v>7</v>
      </c>
      <c r="B7" s="4">
        <v>406</v>
      </c>
      <c r="C7" s="4">
        <v>3</v>
      </c>
      <c r="D7" s="4">
        <v>1</v>
      </c>
      <c r="E7" s="4">
        <v>3</v>
      </c>
      <c r="F7" s="4">
        <v>3</v>
      </c>
      <c r="G7" s="4">
        <v>1</v>
      </c>
      <c r="H7" s="4">
        <f>AVERAGE(C7:G7)</f>
        <v>2.2000000000000002</v>
      </c>
      <c r="I7" s="4">
        <v>2</v>
      </c>
      <c r="J7" s="4">
        <v>1</v>
      </c>
      <c r="K7" s="4">
        <v>1</v>
      </c>
      <c r="L7" s="4">
        <v>1</v>
      </c>
      <c r="M7" s="4">
        <v>1</v>
      </c>
      <c r="N7" s="4">
        <f>AVERAGE(I7:M7)</f>
        <v>1.2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5">
        <f>AVERAGE(O7:S7)</f>
        <v>1</v>
      </c>
      <c r="U7" s="4">
        <f>SUM(H7,N7,T7)</f>
        <v>4.4000000000000004</v>
      </c>
      <c r="V7" s="5"/>
    </row>
    <row r="8" spans="1:22" s="6" customFormat="1" x14ac:dyDescent="0.2">
      <c r="A8" s="18"/>
      <c r="B8" s="4">
        <v>451</v>
      </c>
      <c r="C8" s="4">
        <v>2</v>
      </c>
      <c r="D8" s="4">
        <v>3</v>
      </c>
      <c r="E8" s="4">
        <v>1</v>
      </c>
      <c r="F8" s="4">
        <v>2</v>
      </c>
      <c r="G8" s="4">
        <v>3</v>
      </c>
      <c r="H8" s="4">
        <f t="shared" ref="H8:H16" si="0">AVERAGE(C8:G8)</f>
        <v>2.2000000000000002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f>AVERAGE(I8:M8)</f>
        <v>0.2</v>
      </c>
      <c r="O8" s="4">
        <v>1</v>
      </c>
      <c r="P8" s="4">
        <v>1</v>
      </c>
      <c r="Q8" s="4">
        <v>0</v>
      </c>
      <c r="R8" s="4">
        <v>0</v>
      </c>
      <c r="S8" s="4">
        <v>1</v>
      </c>
      <c r="T8" s="5">
        <f t="shared" ref="T8:T27" si="1">AVERAGE(O8:S8)</f>
        <v>0.6</v>
      </c>
      <c r="U8" s="4">
        <f t="shared" ref="U8:U27" si="2">SUM(H8,N8,T8)</f>
        <v>3.0000000000000004</v>
      </c>
      <c r="V8" s="5"/>
    </row>
    <row r="9" spans="1:22" s="6" customFormat="1" x14ac:dyDescent="0.2">
      <c r="A9" s="18"/>
      <c r="B9" s="4">
        <v>448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f>AVERAGE(C9:G9)</f>
        <v>1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f t="shared" ref="N9:N21" si="3">AVERAGE(I9:M9)</f>
        <v>0.2</v>
      </c>
      <c r="O9" s="4">
        <v>1</v>
      </c>
      <c r="P9" s="4">
        <v>1</v>
      </c>
      <c r="Q9" s="4">
        <v>0</v>
      </c>
      <c r="R9" s="4">
        <v>0</v>
      </c>
      <c r="S9" s="4">
        <v>2</v>
      </c>
      <c r="T9" s="5">
        <f t="shared" si="1"/>
        <v>0.8</v>
      </c>
      <c r="U9" s="4">
        <f t="shared" si="2"/>
        <v>2</v>
      </c>
      <c r="V9" s="5"/>
    </row>
    <row r="10" spans="1:22" s="6" customFormat="1" x14ac:dyDescent="0.2">
      <c r="A10" s="18"/>
      <c r="B10" s="4">
        <v>449</v>
      </c>
      <c r="C10" s="4">
        <v>2</v>
      </c>
      <c r="D10" s="4">
        <v>1</v>
      </c>
      <c r="E10" s="4">
        <v>1</v>
      </c>
      <c r="F10" s="4">
        <v>1</v>
      </c>
      <c r="G10" s="4">
        <v>1</v>
      </c>
      <c r="H10" s="4">
        <f t="shared" si="0"/>
        <v>1.2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f t="shared" si="3"/>
        <v>0.2</v>
      </c>
      <c r="O10" s="4">
        <v>1</v>
      </c>
      <c r="P10" s="4">
        <v>1</v>
      </c>
      <c r="Q10" s="4">
        <v>1</v>
      </c>
      <c r="R10" s="4">
        <v>1</v>
      </c>
      <c r="S10" s="4">
        <v>2</v>
      </c>
      <c r="T10" s="5">
        <f t="shared" si="1"/>
        <v>1.2</v>
      </c>
      <c r="U10" s="4">
        <f t="shared" si="2"/>
        <v>2.5999999999999996</v>
      </c>
      <c r="V10" s="5"/>
    </row>
    <row r="11" spans="1:22" s="6" customFormat="1" x14ac:dyDescent="0.2">
      <c r="A11" s="18"/>
      <c r="B11" s="4">
        <v>792</v>
      </c>
      <c r="C11" s="4">
        <v>2</v>
      </c>
      <c r="D11" s="4">
        <v>1</v>
      </c>
      <c r="E11" s="4">
        <v>3</v>
      </c>
      <c r="F11" s="4">
        <v>3</v>
      </c>
      <c r="G11" s="4">
        <v>1</v>
      </c>
      <c r="H11" s="4">
        <f t="shared" si="0"/>
        <v>2</v>
      </c>
      <c r="I11" s="4">
        <v>2</v>
      </c>
      <c r="J11" s="4">
        <v>1</v>
      </c>
      <c r="K11" s="4">
        <v>1</v>
      </c>
      <c r="L11" s="4">
        <v>1</v>
      </c>
      <c r="M11" s="4">
        <v>2</v>
      </c>
      <c r="N11" s="4">
        <f t="shared" si="3"/>
        <v>1.4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5">
        <f t="shared" si="1"/>
        <v>1</v>
      </c>
      <c r="U11" s="4">
        <f t="shared" si="2"/>
        <v>4.4000000000000004</v>
      </c>
      <c r="V11" s="5"/>
    </row>
    <row r="12" spans="1:22" s="6" customFormat="1" x14ac:dyDescent="0.2">
      <c r="A12" s="18"/>
      <c r="B12" s="4">
        <v>795</v>
      </c>
      <c r="C12" s="4">
        <v>1</v>
      </c>
      <c r="D12" s="4">
        <v>1</v>
      </c>
      <c r="E12" s="4">
        <v>3</v>
      </c>
      <c r="F12" s="4">
        <v>3</v>
      </c>
      <c r="G12" s="4">
        <v>1</v>
      </c>
      <c r="H12" s="4">
        <f t="shared" si="0"/>
        <v>1.8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f>AVERAGE(I12:M12)</f>
        <v>0</v>
      </c>
      <c r="O12" s="4">
        <v>2</v>
      </c>
      <c r="P12" s="4">
        <v>2</v>
      </c>
      <c r="Q12" s="4">
        <v>2</v>
      </c>
      <c r="R12" s="4">
        <v>1</v>
      </c>
      <c r="S12" s="4">
        <v>2</v>
      </c>
      <c r="T12" s="5">
        <f t="shared" si="1"/>
        <v>1.8</v>
      </c>
      <c r="U12" s="4">
        <f t="shared" si="2"/>
        <v>3.6</v>
      </c>
      <c r="V12" s="5"/>
    </row>
    <row r="13" spans="1:22" s="6" customFormat="1" x14ac:dyDescent="0.2">
      <c r="A13" s="18"/>
      <c r="B13" s="4">
        <v>407</v>
      </c>
      <c r="C13" s="4">
        <v>3</v>
      </c>
      <c r="D13" s="4">
        <v>3</v>
      </c>
      <c r="E13" s="4">
        <v>3</v>
      </c>
      <c r="F13" s="4">
        <v>3</v>
      </c>
      <c r="G13" s="4">
        <v>3</v>
      </c>
      <c r="H13" s="4">
        <f t="shared" si="0"/>
        <v>3</v>
      </c>
      <c r="I13" s="4">
        <v>1</v>
      </c>
      <c r="J13" s="4">
        <v>0</v>
      </c>
      <c r="K13" s="4">
        <v>2</v>
      </c>
      <c r="L13" s="4">
        <v>2</v>
      </c>
      <c r="M13" s="4">
        <v>1</v>
      </c>
      <c r="N13" s="4">
        <f t="shared" si="3"/>
        <v>1.2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5">
        <f t="shared" si="1"/>
        <v>1</v>
      </c>
      <c r="U13" s="4">
        <f t="shared" si="2"/>
        <v>5.2</v>
      </c>
      <c r="V13" s="5"/>
    </row>
    <row r="14" spans="1:22" s="6" customFormat="1" x14ac:dyDescent="0.2">
      <c r="A14" s="18"/>
      <c r="B14" s="4">
        <v>445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f t="shared" si="0"/>
        <v>1</v>
      </c>
      <c r="I14" s="4">
        <v>2</v>
      </c>
      <c r="J14" s="4">
        <v>0</v>
      </c>
      <c r="K14" s="4">
        <v>0</v>
      </c>
      <c r="L14" s="4">
        <v>1</v>
      </c>
      <c r="M14" s="4">
        <v>0</v>
      </c>
      <c r="N14" s="4">
        <f t="shared" si="3"/>
        <v>0.6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5">
        <f t="shared" si="1"/>
        <v>0</v>
      </c>
      <c r="U14" s="4">
        <f t="shared" si="2"/>
        <v>1.6</v>
      </c>
      <c r="V14" s="5"/>
    </row>
    <row r="15" spans="1:22" s="6" customFormat="1" x14ac:dyDescent="0.2">
      <c r="A15" s="18"/>
      <c r="B15" s="12">
        <v>794</v>
      </c>
      <c r="C15" s="4">
        <v>3</v>
      </c>
      <c r="D15" s="4">
        <v>3</v>
      </c>
      <c r="E15" s="4">
        <v>2</v>
      </c>
      <c r="F15" s="4">
        <v>3</v>
      </c>
      <c r="G15" s="4">
        <v>3</v>
      </c>
      <c r="H15" s="4">
        <f t="shared" si="0"/>
        <v>2.8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f t="shared" si="3"/>
        <v>0.2</v>
      </c>
      <c r="O15" s="4">
        <v>1</v>
      </c>
      <c r="P15" s="4">
        <v>1</v>
      </c>
      <c r="Q15" s="4">
        <v>1</v>
      </c>
      <c r="R15" s="4">
        <v>0</v>
      </c>
      <c r="S15" s="4">
        <v>1</v>
      </c>
      <c r="T15" s="5">
        <f t="shared" si="1"/>
        <v>0.8</v>
      </c>
      <c r="U15" s="4">
        <f t="shared" si="2"/>
        <v>3.8</v>
      </c>
      <c r="V15" s="5"/>
    </row>
    <row r="16" spans="1:22" s="6" customFormat="1" x14ac:dyDescent="0.2">
      <c r="A16" s="19"/>
      <c r="B16" s="4">
        <v>793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f t="shared" si="0"/>
        <v>1</v>
      </c>
      <c r="I16" s="4">
        <v>0</v>
      </c>
      <c r="J16" s="4">
        <v>1</v>
      </c>
      <c r="K16" s="4">
        <v>0</v>
      </c>
      <c r="L16" s="4">
        <v>1</v>
      </c>
      <c r="M16" s="4">
        <v>0</v>
      </c>
      <c r="N16" s="4">
        <f t="shared" si="3"/>
        <v>0.4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5">
        <f t="shared" si="1"/>
        <v>0</v>
      </c>
      <c r="U16" s="4">
        <f t="shared" si="2"/>
        <v>1.4</v>
      </c>
      <c r="V16" s="5"/>
    </row>
    <row r="17" spans="1:22" s="9" customFormat="1" x14ac:dyDescent="0.2">
      <c r="A17" s="20" t="s">
        <v>8</v>
      </c>
      <c r="B17" s="7">
        <v>444</v>
      </c>
      <c r="C17" s="7">
        <v>2</v>
      </c>
      <c r="D17" s="7">
        <v>2</v>
      </c>
      <c r="E17" s="7">
        <v>2</v>
      </c>
      <c r="F17" s="7">
        <v>1</v>
      </c>
      <c r="G17" s="7">
        <v>1</v>
      </c>
      <c r="H17" s="7">
        <f>AVERAGE(C17:G17)</f>
        <v>1.6</v>
      </c>
      <c r="I17" s="7">
        <v>1</v>
      </c>
      <c r="J17" s="7">
        <v>0</v>
      </c>
      <c r="K17" s="7">
        <v>1</v>
      </c>
      <c r="L17" s="7">
        <v>0</v>
      </c>
      <c r="M17" s="7">
        <v>0</v>
      </c>
      <c r="N17" s="7">
        <f t="shared" si="3"/>
        <v>0.4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8">
        <f t="shared" si="1"/>
        <v>1</v>
      </c>
      <c r="U17" s="7">
        <f>SUM(H17,N17,T17)</f>
        <v>3</v>
      </c>
      <c r="V17" s="8"/>
    </row>
    <row r="18" spans="1:22" s="9" customFormat="1" x14ac:dyDescent="0.2">
      <c r="A18" s="21"/>
      <c r="B18" s="7">
        <v>447</v>
      </c>
      <c r="C18" s="7">
        <v>1</v>
      </c>
      <c r="D18" s="7">
        <v>1</v>
      </c>
      <c r="E18" s="7">
        <v>3</v>
      </c>
      <c r="F18" s="7">
        <v>3</v>
      </c>
      <c r="G18" s="7">
        <v>1</v>
      </c>
      <c r="H18" s="7">
        <f t="shared" ref="H18:H28" si="4">AVERAGE(C18:G18)</f>
        <v>1.8</v>
      </c>
      <c r="I18" s="7">
        <v>0</v>
      </c>
      <c r="J18" s="7">
        <v>1</v>
      </c>
      <c r="K18" s="7">
        <v>2</v>
      </c>
      <c r="L18" s="7">
        <v>2</v>
      </c>
      <c r="M18" s="7">
        <v>0</v>
      </c>
      <c r="N18" s="7">
        <f t="shared" si="3"/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8">
        <f t="shared" si="1"/>
        <v>1</v>
      </c>
      <c r="U18" s="7">
        <f t="shared" si="2"/>
        <v>3.8</v>
      </c>
      <c r="V18" s="8"/>
    </row>
    <row r="19" spans="1:22" s="9" customFormat="1" x14ac:dyDescent="0.2">
      <c r="A19" s="21"/>
      <c r="B19" s="9">
        <v>401</v>
      </c>
      <c r="C19" s="9">
        <v>1</v>
      </c>
      <c r="D19" s="9">
        <v>1</v>
      </c>
      <c r="E19" s="9">
        <v>1</v>
      </c>
      <c r="F19" s="9">
        <v>1</v>
      </c>
      <c r="G19" s="7">
        <v>1</v>
      </c>
      <c r="H19" s="7">
        <f t="shared" si="4"/>
        <v>1</v>
      </c>
      <c r="I19" s="9">
        <v>0</v>
      </c>
      <c r="J19" s="9">
        <v>0</v>
      </c>
      <c r="K19" s="9">
        <v>0</v>
      </c>
      <c r="L19" s="9">
        <v>0</v>
      </c>
      <c r="M19" s="9">
        <v>1</v>
      </c>
      <c r="N19" s="7">
        <f t="shared" si="3"/>
        <v>0.2</v>
      </c>
      <c r="O19" s="9">
        <v>2</v>
      </c>
      <c r="P19" s="9">
        <v>2</v>
      </c>
      <c r="Q19" s="9">
        <v>2</v>
      </c>
      <c r="R19" s="9">
        <v>2</v>
      </c>
      <c r="S19" s="9">
        <v>2</v>
      </c>
      <c r="T19" s="8">
        <f t="shared" si="1"/>
        <v>2</v>
      </c>
      <c r="U19" s="7">
        <f t="shared" si="2"/>
        <v>3.2</v>
      </c>
    </row>
    <row r="20" spans="1:22" s="9" customFormat="1" x14ac:dyDescent="0.2">
      <c r="A20" s="21"/>
      <c r="B20" s="9">
        <v>5997</v>
      </c>
      <c r="C20" s="9">
        <v>1</v>
      </c>
      <c r="D20" s="9">
        <v>1</v>
      </c>
      <c r="E20" s="9">
        <v>1</v>
      </c>
      <c r="F20" s="9">
        <v>1</v>
      </c>
      <c r="G20" s="7">
        <v>1</v>
      </c>
      <c r="H20" s="7">
        <f>AVERAGE(C20:G20)</f>
        <v>1</v>
      </c>
      <c r="I20" s="9">
        <v>0</v>
      </c>
      <c r="J20" s="9">
        <v>1</v>
      </c>
      <c r="K20" s="9">
        <v>1</v>
      </c>
      <c r="L20" s="9">
        <v>1</v>
      </c>
      <c r="M20" s="9">
        <v>2</v>
      </c>
      <c r="N20" s="7">
        <f t="shared" si="3"/>
        <v>1</v>
      </c>
      <c r="O20" s="9">
        <v>2</v>
      </c>
      <c r="P20" s="9">
        <v>2</v>
      </c>
      <c r="Q20" s="9">
        <v>1</v>
      </c>
      <c r="R20" s="9">
        <v>1</v>
      </c>
      <c r="S20" s="9">
        <v>2</v>
      </c>
      <c r="T20" s="8">
        <f t="shared" si="1"/>
        <v>1.6</v>
      </c>
      <c r="U20" s="7">
        <f t="shared" si="2"/>
        <v>3.6</v>
      </c>
    </row>
    <row r="21" spans="1:22" s="9" customFormat="1" x14ac:dyDescent="0.2">
      <c r="A21" s="21"/>
      <c r="B21" s="9">
        <v>5998</v>
      </c>
      <c r="C21" s="9">
        <v>1</v>
      </c>
      <c r="D21" s="9">
        <v>1</v>
      </c>
      <c r="E21" s="9">
        <v>3</v>
      </c>
      <c r="F21" s="9">
        <v>3</v>
      </c>
      <c r="G21" s="7">
        <v>1</v>
      </c>
      <c r="H21" s="7">
        <f t="shared" si="4"/>
        <v>1.8</v>
      </c>
      <c r="I21" s="9">
        <v>1</v>
      </c>
      <c r="J21" s="9">
        <v>2</v>
      </c>
      <c r="K21" s="9">
        <v>1</v>
      </c>
      <c r="L21" s="9">
        <v>1</v>
      </c>
      <c r="M21" s="9">
        <v>1</v>
      </c>
      <c r="N21" s="7">
        <f t="shared" si="3"/>
        <v>1.2</v>
      </c>
      <c r="O21" s="9">
        <v>2</v>
      </c>
      <c r="P21" s="9">
        <v>1</v>
      </c>
      <c r="Q21" s="9">
        <v>1</v>
      </c>
      <c r="R21" s="9">
        <v>1</v>
      </c>
      <c r="S21" s="9">
        <v>2</v>
      </c>
      <c r="T21" s="8">
        <f t="shared" si="1"/>
        <v>1.4</v>
      </c>
      <c r="U21" s="7">
        <f t="shared" si="2"/>
        <v>4.4000000000000004</v>
      </c>
    </row>
    <row r="22" spans="1:22" s="9" customFormat="1" x14ac:dyDescent="0.2">
      <c r="A22" s="21"/>
      <c r="B22" s="9">
        <v>5999</v>
      </c>
      <c r="C22" s="9">
        <v>1</v>
      </c>
      <c r="D22" s="9">
        <v>1</v>
      </c>
      <c r="E22" s="9">
        <v>3</v>
      </c>
      <c r="F22" s="9">
        <v>3</v>
      </c>
      <c r="G22" s="7">
        <v>1</v>
      </c>
      <c r="H22" s="7">
        <f t="shared" si="4"/>
        <v>1.8</v>
      </c>
      <c r="I22" s="9">
        <v>1</v>
      </c>
      <c r="J22" s="9">
        <v>2</v>
      </c>
      <c r="K22" s="9">
        <v>1</v>
      </c>
      <c r="L22" s="9">
        <v>1</v>
      </c>
      <c r="M22" s="9">
        <v>1</v>
      </c>
      <c r="N22" s="7">
        <f>AVERAGE(I22:M22)</f>
        <v>1.2</v>
      </c>
      <c r="O22" s="9">
        <v>1</v>
      </c>
      <c r="P22" s="9">
        <v>2</v>
      </c>
      <c r="Q22" s="9">
        <v>1</v>
      </c>
      <c r="R22" s="9">
        <v>1</v>
      </c>
      <c r="S22" s="9">
        <v>1</v>
      </c>
      <c r="T22" s="8">
        <f t="shared" si="1"/>
        <v>1.2</v>
      </c>
      <c r="U22" s="7">
        <f t="shared" si="2"/>
        <v>4.2</v>
      </c>
    </row>
    <row r="23" spans="1:22" s="9" customFormat="1" x14ac:dyDescent="0.2">
      <c r="A23" s="21"/>
      <c r="B23" s="9">
        <v>402</v>
      </c>
      <c r="C23" s="9">
        <v>2</v>
      </c>
      <c r="D23" s="9">
        <v>2</v>
      </c>
      <c r="E23" s="9">
        <v>2</v>
      </c>
      <c r="F23" s="9">
        <v>3</v>
      </c>
      <c r="G23" s="7">
        <v>3</v>
      </c>
      <c r="H23" s="7">
        <f t="shared" si="4"/>
        <v>2.4</v>
      </c>
      <c r="I23" s="9">
        <v>1</v>
      </c>
      <c r="J23" s="9">
        <v>1</v>
      </c>
      <c r="K23" s="9">
        <v>0</v>
      </c>
      <c r="L23" s="9">
        <v>0</v>
      </c>
      <c r="M23" s="7">
        <v>0</v>
      </c>
      <c r="N23" s="7">
        <f t="shared" ref="N23:N26" si="5">AVERAGE(I23:M23)</f>
        <v>0.4</v>
      </c>
      <c r="O23" s="9">
        <v>1</v>
      </c>
      <c r="P23" s="9">
        <v>1</v>
      </c>
      <c r="Q23" s="9">
        <v>1</v>
      </c>
      <c r="R23" s="9">
        <v>1</v>
      </c>
      <c r="S23" s="9">
        <v>1</v>
      </c>
      <c r="T23" s="8">
        <f t="shared" si="1"/>
        <v>1</v>
      </c>
      <c r="U23" s="7">
        <f t="shared" si="2"/>
        <v>3.8</v>
      </c>
    </row>
    <row r="24" spans="1:22" s="9" customFormat="1" x14ac:dyDescent="0.2">
      <c r="A24" s="21"/>
      <c r="B24" s="9">
        <v>403</v>
      </c>
      <c r="C24" s="9">
        <v>3</v>
      </c>
      <c r="D24" s="9">
        <v>3</v>
      </c>
      <c r="E24" s="9">
        <v>3</v>
      </c>
      <c r="F24" s="9">
        <v>3</v>
      </c>
      <c r="G24" s="7">
        <v>2</v>
      </c>
      <c r="H24" s="7">
        <f t="shared" si="4"/>
        <v>2.8</v>
      </c>
      <c r="I24" s="9">
        <v>1</v>
      </c>
      <c r="J24" s="9">
        <v>1</v>
      </c>
      <c r="K24" s="9">
        <v>1</v>
      </c>
      <c r="L24" s="9">
        <v>2</v>
      </c>
      <c r="M24" s="7">
        <v>1</v>
      </c>
      <c r="N24" s="7">
        <f t="shared" si="5"/>
        <v>1.2</v>
      </c>
      <c r="O24" s="9">
        <v>1</v>
      </c>
      <c r="P24" s="9">
        <v>1</v>
      </c>
      <c r="Q24" s="9">
        <v>1</v>
      </c>
      <c r="R24" s="9">
        <v>0</v>
      </c>
      <c r="S24" s="9">
        <v>0</v>
      </c>
      <c r="T24" s="8">
        <f t="shared" si="1"/>
        <v>0.6</v>
      </c>
      <c r="U24" s="7">
        <f t="shared" si="2"/>
        <v>4.5999999999999996</v>
      </c>
    </row>
    <row r="25" spans="1:22" s="9" customFormat="1" x14ac:dyDescent="0.2">
      <c r="A25" s="21"/>
      <c r="B25" s="9">
        <v>404</v>
      </c>
      <c r="C25" s="9">
        <v>2</v>
      </c>
      <c r="D25" s="9">
        <v>2</v>
      </c>
      <c r="E25" s="9">
        <v>2</v>
      </c>
      <c r="F25" s="9">
        <v>2</v>
      </c>
      <c r="G25" s="7">
        <v>2</v>
      </c>
      <c r="H25" s="7">
        <f t="shared" si="4"/>
        <v>2</v>
      </c>
      <c r="I25" s="9">
        <v>1</v>
      </c>
      <c r="J25" s="9">
        <v>1</v>
      </c>
      <c r="K25" s="9">
        <v>0</v>
      </c>
      <c r="L25" s="9">
        <v>0</v>
      </c>
      <c r="M25" s="9">
        <v>1</v>
      </c>
      <c r="N25" s="7">
        <f t="shared" si="5"/>
        <v>0.6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8">
        <f t="shared" si="1"/>
        <v>1</v>
      </c>
      <c r="U25" s="7">
        <f t="shared" si="2"/>
        <v>3.6</v>
      </c>
    </row>
    <row r="26" spans="1:22" s="9" customFormat="1" x14ac:dyDescent="0.2">
      <c r="A26" s="21"/>
      <c r="B26" s="9">
        <v>446</v>
      </c>
      <c r="C26" s="9">
        <v>1</v>
      </c>
      <c r="D26" s="9">
        <v>1</v>
      </c>
      <c r="E26" s="9">
        <v>1</v>
      </c>
      <c r="F26" s="9">
        <v>1</v>
      </c>
      <c r="G26" s="7">
        <v>1</v>
      </c>
      <c r="H26" s="7">
        <f t="shared" si="4"/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7">
        <f t="shared" si="5"/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8">
        <f t="shared" si="1"/>
        <v>0</v>
      </c>
      <c r="U26" s="7">
        <f t="shared" si="2"/>
        <v>1</v>
      </c>
    </row>
    <row r="27" spans="1:22" s="9" customFormat="1" x14ac:dyDescent="0.2">
      <c r="A27" s="21"/>
      <c r="B27" s="9">
        <v>452</v>
      </c>
      <c r="C27" s="9">
        <v>3</v>
      </c>
      <c r="D27" s="9">
        <v>3</v>
      </c>
      <c r="E27" s="9">
        <v>3</v>
      </c>
      <c r="F27" s="9">
        <v>3</v>
      </c>
      <c r="G27" s="7">
        <v>3</v>
      </c>
      <c r="H27" s="7">
        <f t="shared" si="4"/>
        <v>3</v>
      </c>
      <c r="I27" s="9">
        <v>2</v>
      </c>
      <c r="J27" s="9">
        <v>2</v>
      </c>
      <c r="K27" s="9">
        <v>2</v>
      </c>
      <c r="L27" s="9">
        <v>2</v>
      </c>
      <c r="M27" s="9">
        <v>1</v>
      </c>
      <c r="N27" s="7">
        <f>AVERAGE(I27:M27)</f>
        <v>1.8</v>
      </c>
      <c r="O27" s="9">
        <v>1</v>
      </c>
      <c r="P27" s="9">
        <v>1</v>
      </c>
      <c r="Q27" s="9">
        <v>0</v>
      </c>
      <c r="R27" s="9">
        <v>1</v>
      </c>
      <c r="S27" s="9">
        <v>1</v>
      </c>
      <c r="T27" s="8">
        <f t="shared" si="1"/>
        <v>0.8</v>
      </c>
      <c r="U27" s="7">
        <f t="shared" si="2"/>
        <v>5.6</v>
      </c>
    </row>
    <row r="28" spans="1:22" s="9" customFormat="1" x14ac:dyDescent="0.2">
      <c r="A28" s="22"/>
      <c r="B28" s="9">
        <v>6000</v>
      </c>
      <c r="C28" s="9">
        <v>1</v>
      </c>
      <c r="D28" s="9">
        <v>1</v>
      </c>
      <c r="E28" s="9">
        <v>0</v>
      </c>
      <c r="F28" s="9">
        <v>0</v>
      </c>
      <c r="G28" s="7">
        <v>0</v>
      </c>
      <c r="H28" s="7">
        <f t="shared" si="4"/>
        <v>0.4</v>
      </c>
      <c r="I28" s="9">
        <v>1</v>
      </c>
      <c r="J28" s="9">
        <v>0</v>
      </c>
      <c r="K28" s="9">
        <v>1</v>
      </c>
      <c r="L28" s="9">
        <v>2</v>
      </c>
      <c r="M28" s="9">
        <v>2</v>
      </c>
      <c r="N28" s="7">
        <f>AVERAGE(I28:M28)</f>
        <v>1.2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8">
        <f>AVERAGE(O28:S28)</f>
        <v>0</v>
      </c>
      <c r="U28" s="7">
        <f>SUM(H28,N28,T28)</f>
        <v>1.6</v>
      </c>
    </row>
    <row r="29" spans="1:22" s="6" customFormat="1" x14ac:dyDescent="0.2">
      <c r="A29" s="13" t="s">
        <v>9</v>
      </c>
      <c r="B29" s="4">
        <v>475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f>AVERAGE(C29:G29)</f>
        <v>0</v>
      </c>
      <c r="I29" s="4">
        <v>1</v>
      </c>
      <c r="J29" s="4">
        <v>1</v>
      </c>
      <c r="K29" s="4">
        <v>0</v>
      </c>
      <c r="L29" s="4">
        <v>0</v>
      </c>
      <c r="M29" s="4">
        <v>1</v>
      </c>
      <c r="N29" s="4">
        <f>AVERAGE(I29:M29)</f>
        <v>0.6</v>
      </c>
      <c r="O29" s="4">
        <v>1</v>
      </c>
      <c r="P29" s="4">
        <v>1</v>
      </c>
      <c r="Q29" s="4">
        <v>0</v>
      </c>
      <c r="R29" s="4">
        <v>0</v>
      </c>
      <c r="S29" s="4">
        <v>1</v>
      </c>
      <c r="T29" s="5">
        <f>AVERAGE(O29:S29)</f>
        <v>0.6</v>
      </c>
      <c r="U29" s="4">
        <f>SUM(H29,N29,T29)</f>
        <v>1.2</v>
      </c>
      <c r="V29" s="5"/>
    </row>
    <row r="30" spans="1:22" s="6" customFormat="1" x14ac:dyDescent="0.2">
      <c r="A30" s="13"/>
      <c r="B30" s="4">
        <v>581</v>
      </c>
      <c r="C30" s="4">
        <v>0</v>
      </c>
      <c r="D30" s="4">
        <v>0</v>
      </c>
      <c r="E30" s="4">
        <v>1</v>
      </c>
      <c r="F30" s="4">
        <v>1</v>
      </c>
      <c r="G30" s="4">
        <v>0</v>
      </c>
      <c r="H30" s="4">
        <f>AVERAGE(C30:G30)</f>
        <v>0.4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f>AVERAGE(I30:M30)</f>
        <v>0</v>
      </c>
      <c r="O30" s="4">
        <v>0</v>
      </c>
      <c r="P30" s="4">
        <v>1</v>
      </c>
      <c r="Q30" s="4">
        <v>0</v>
      </c>
      <c r="R30" s="4">
        <v>0</v>
      </c>
      <c r="S30" s="4">
        <v>1</v>
      </c>
      <c r="T30" s="5">
        <f>AVERAGE(O30:S30)</f>
        <v>0.4</v>
      </c>
      <c r="U30" s="4">
        <f>SUM(H30,N30,T30)</f>
        <v>0.8</v>
      </c>
      <c r="V30" s="5"/>
    </row>
    <row r="31" spans="1:22" s="6" customFormat="1" x14ac:dyDescent="0.2">
      <c r="A31" s="13"/>
      <c r="B31" s="6">
        <v>473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4">
        <f t="shared" ref="H31:H34" si="6">AVERAGE(C31:G31)</f>
        <v>0</v>
      </c>
      <c r="I31" s="6">
        <v>0</v>
      </c>
      <c r="J31" s="6">
        <v>1</v>
      </c>
      <c r="K31" s="6">
        <v>0</v>
      </c>
      <c r="L31" s="6">
        <v>0</v>
      </c>
      <c r="M31" s="6">
        <v>0</v>
      </c>
      <c r="N31" s="6">
        <f>AVERAGE(I31:M31)</f>
        <v>0.2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f>AVERAGE(O31:S31)</f>
        <v>0</v>
      </c>
      <c r="U31" s="4">
        <f t="shared" ref="U31:U34" si="7">SUM(H31,N31,T31)</f>
        <v>0.2</v>
      </c>
    </row>
    <row r="32" spans="1:22" s="6" customFormat="1" x14ac:dyDescent="0.2">
      <c r="A32" s="13"/>
      <c r="B32" s="6">
        <v>474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4">
        <f t="shared" si="6"/>
        <v>0</v>
      </c>
      <c r="I32" s="6">
        <v>0</v>
      </c>
      <c r="J32" s="6">
        <v>2</v>
      </c>
      <c r="K32" s="6">
        <v>2</v>
      </c>
      <c r="L32" s="6">
        <v>2</v>
      </c>
      <c r="M32" s="6">
        <v>0</v>
      </c>
      <c r="N32" s="6">
        <f t="shared" ref="N32:N34" si="8">AVERAGE(I32:M32)</f>
        <v>1.2</v>
      </c>
      <c r="O32" s="6">
        <v>0</v>
      </c>
      <c r="P32" s="6">
        <v>1</v>
      </c>
      <c r="Q32" s="6">
        <v>0</v>
      </c>
      <c r="R32" s="6">
        <v>0</v>
      </c>
      <c r="S32" s="6">
        <v>0</v>
      </c>
      <c r="T32" s="6">
        <f t="shared" ref="T32:T34" si="9">AVERAGE(O32:S32)</f>
        <v>0.2</v>
      </c>
      <c r="U32" s="4">
        <f t="shared" si="7"/>
        <v>1.4</v>
      </c>
    </row>
    <row r="33" spans="1:22" s="6" customFormat="1" x14ac:dyDescent="0.2">
      <c r="A33" s="13"/>
      <c r="B33" s="4">
        <v>583</v>
      </c>
      <c r="C33" s="6">
        <v>0</v>
      </c>
      <c r="D33" s="6">
        <v>0</v>
      </c>
      <c r="E33" s="4">
        <v>0</v>
      </c>
      <c r="F33" s="4">
        <v>0</v>
      </c>
      <c r="G33" s="6">
        <v>0</v>
      </c>
      <c r="H33" s="4">
        <f t="shared" si="6"/>
        <v>0</v>
      </c>
      <c r="I33" s="6">
        <v>0</v>
      </c>
      <c r="J33" s="6">
        <v>0</v>
      </c>
      <c r="K33" s="4">
        <v>0</v>
      </c>
      <c r="L33" s="4">
        <v>0</v>
      </c>
      <c r="M33" s="6">
        <v>0</v>
      </c>
      <c r="N33" s="6">
        <f t="shared" si="8"/>
        <v>0</v>
      </c>
      <c r="O33" s="6">
        <v>0</v>
      </c>
      <c r="P33" s="6">
        <v>0</v>
      </c>
      <c r="Q33" s="4">
        <v>0</v>
      </c>
      <c r="R33" s="4">
        <v>0</v>
      </c>
      <c r="S33" s="6">
        <v>0</v>
      </c>
      <c r="T33" s="6">
        <f t="shared" si="9"/>
        <v>0</v>
      </c>
      <c r="U33" s="4">
        <f t="shared" si="7"/>
        <v>0</v>
      </c>
      <c r="V33" s="5"/>
    </row>
    <row r="34" spans="1:22" s="6" customFormat="1" x14ac:dyDescent="0.2">
      <c r="A34" s="13"/>
      <c r="B34" s="4">
        <v>584</v>
      </c>
      <c r="C34" s="6">
        <v>0</v>
      </c>
      <c r="D34" s="6">
        <v>0</v>
      </c>
      <c r="E34" s="4">
        <v>0</v>
      </c>
      <c r="F34" s="4">
        <v>0</v>
      </c>
      <c r="G34" s="6">
        <v>0</v>
      </c>
      <c r="H34" s="4">
        <f t="shared" si="6"/>
        <v>0</v>
      </c>
      <c r="I34" s="6">
        <v>0</v>
      </c>
      <c r="J34" s="6">
        <v>0</v>
      </c>
      <c r="K34" s="4">
        <v>0</v>
      </c>
      <c r="L34" s="4">
        <v>0</v>
      </c>
      <c r="M34" s="6">
        <v>0</v>
      </c>
      <c r="N34" s="6">
        <f t="shared" si="8"/>
        <v>0</v>
      </c>
      <c r="O34" s="6">
        <v>0</v>
      </c>
      <c r="P34" s="6">
        <v>0</v>
      </c>
      <c r="Q34" s="4">
        <v>0</v>
      </c>
      <c r="R34" s="4">
        <v>0</v>
      </c>
      <c r="S34" s="6">
        <v>0</v>
      </c>
      <c r="T34" s="6">
        <f t="shared" si="9"/>
        <v>0</v>
      </c>
      <c r="U34" s="4">
        <f t="shared" si="7"/>
        <v>0</v>
      </c>
      <c r="V34" s="5"/>
    </row>
    <row r="35" spans="1:22" s="9" customFormat="1" x14ac:dyDescent="0.2">
      <c r="A35" s="14" t="s">
        <v>10</v>
      </c>
      <c r="B35" s="7">
        <v>498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f>AVERAGE(C35:G35)</f>
        <v>0</v>
      </c>
      <c r="I35" s="7">
        <v>1</v>
      </c>
      <c r="J35" s="7">
        <v>1</v>
      </c>
      <c r="K35" s="7">
        <v>0</v>
      </c>
      <c r="L35" s="7">
        <v>0</v>
      </c>
      <c r="M35" s="7">
        <v>1</v>
      </c>
      <c r="N35" s="7">
        <f>AVERAGE(I35:M35)</f>
        <v>0.6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8">
        <f>AVERAGE(O35:S35)</f>
        <v>0</v>
      </c>
      <c r="U35" s="7">
        <f>SUM(H35,N35,T35)</f>
        <v>0.6</v>
      </c>
      <c r="V35" s="8"/>
    </row>
    <row r="36" spans="1:22" s="9" customFormat="1" x14ac:dyDescent="0.2">
      <c r="A36" s="14"/>
      <c r="B36" s="7">
        <v>586</v>
      </c>
      <c r="C36" s="7">
        <v>0</v>
      </c>
      <c r="D36" s="7">
        <v>0</v>
      </c>
      <c r="E36" s="7">
        <v>1</v>
      </c>
      <c r="F36" s="7">
        <v>1</v>
      </c>
      <c r="G36" s="7">
        <v>0</v>
      </c>
      <c r="H36" s="7">
        <f>AVERAGE(C36:G36)</f>
        <v>0.4</v>
      </c>
      <c r="I36" s="7">
        <v>1</v>
      </c>
      <c r="J36" s="7">
        <v>1</v>
      </c>
      <c r="K36" s="7">
        <v>1</v>
      </c>
      <c r="L36" s="7">
        <v>1</v>
      </c>
      <c r="M36" s="7">
        <v>0</v>
      </c>
      <c r="N36" s="7">
        <f>AVERAGE(I36:M36)</f>
        <v>0.8</v>
      </c>
      <c r="O36" s="7">
        <v>0</v>
      </c>
      <c r="P36" s="7">
        <v>1</v>
      </c>
      <c r="Q36" s="7">
        <v>0</v>
      </c>
      <c r="R36" s="7">
        <v>0</v>
      </c>
      <c r="S36" s="7">
        <v>0</v>
      </c>
      <c r="T36" s="8">
        <f>AVERAGE(O36:S36)</f>
        <v>0.2</v>
      </c>
      <c r="U36" s="7">
        <f>SUM(H36,N36,T36)</f>
        <v>1.4000000000000001</v>
      </c>
      <c r="V36" s="8"/>
    </row>
    <row r="37" spans="1:22" s="9" customFormat="1" x14ac:dyDescent="0.2">
      <c r="A37" s="14"/>
      <c r="B37" s="9">
        <v>497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f t="shared" ref="H37:H40" si="10">AVERAGE(C37:G37)</f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f>AVERAGE(I37:M37)</f>
        <v>0</v>
      </c>
      <c r="O37" s="9">
        <v>1</v>
      </c>
      <c r="P37" s="9">
        <v>0</v>
      </c>
      <c r="Q37" s="9">
        <v>0</v>
      </c>
      <c r="R37" s="9">
        <v>0</v>
      </c>
      <c r="S37" s="9">
        <v>0</v>
      </c>
      <c r="T37" s="9">
        <f>AVERAGE(O37:S37)</f>
        <v>0.2</v>
      </c>
      <c r="U37" s="7">
        <f t="shared" ref="U37:U40" si="11">SUM(H37,N37,T37)</f>
        <v>0.2</v>
      </c>
    </row>
    <row r="38" spans="1:22" s="9" customFormat="1" x14ac:dyDescent="0.2">
      <c r="A38" s="14"/>
      <c r="B38" s="9">
        <v>500</v>
      </c>
      <c r="C38" s="7">
        <v>0</v>
      </c>
      <c r="D38" s="7">
        <v>0</v>
      </c>
      <c r="E38" s="7">
        <v>1</v>
      </c>
      <c r="F38" s="7">
        <v>1</v>
      </c>
      <c r="G38" s="7">
        <v>0</v>
      </c>
      <c r="H38" s="7">
        <f t="shared" si="10"/>
        <v>0.4</v>
      </c>
      <c r="I38" s="9">
        <v>0</v>
      </c>
      <c r="J38" s="9">
        <v>0</v>
      </c>
      <c r="K38" s="10">
        <v>0</v>
      </c>
      <c r="L38" s="11">
        <v>0</v>
      </c>
      <c r="M38" s="9">
        <v>0</v>
      </c>
      <c r="N38" s="9">
        <f t="shared" ref="N38:N40" si="12">AVERAGE(I38:M38)</f>
        <v>0</v>
      </c>
      <c r="O38" s="9">
        <v>1</v>
      </c>
      <c r="P38" s="9">
        <v>1</v>
      </c>
      <c r="Q38" s="10">
        <v>0</v>
      </c>
      <c r="R38" s="11">
        <v>0</v>
      </c>
      <c r="S38" s="9">
        <v>1</v>
      </c>
      <c r="T38" s="9">
        <f t="shared" ref="T38:T40" si="13">AVERAGE(O38:S38)</f>
        <v>0.6</v>
      </c>
      <c r="U38" s="7">
        <f t="shared" si="11"/>
        <v>1</v>
      </c>
    </row>
    <row r="39" spans="1:22" s="9" customFormat="1" x14ac:dyDescent="0.2">
      <c r="A39" s="14"/>
      <c r="B39" s="9">
        <v>587</v>
      </c>
      <c r="C39" s="7">
        <v>0</v>
      </c>
      <c r="D39" s="7">
        <v>0</v>
      </c>
      <c r="E39" s="7">
        <v>1</v>
      </c>
      <c r="F39" s="7">
        <v>1</v>
      </c>
      <c r="G39" s="7">
        <v>0</v>
      </c>
      <c r="H39" s="7">
        <f t="shared" si="10"/>
        <v>0.4</v>
      </c>
      <c r="I39" s="7">
        <v>0</v>
      </c>
      <c r="J39" s="7">
        <v>0</v>
      </c>
      <c r="K39" s="7">
        <v>1</v>
      </c>
      <c r="L39" s="7">
        <v>1</v>
      </c>
      <c r="M39" s="7">
        <v>0</v>
      </c>
      <c r="N39" s="9">
        <f t="shared" si="12"/>
        <v>0.4</v>
      </c>
      <c r="O39" s="9">
        <v>1</v>
      </c>
      <c r="P39" s="9">
        <v>1</v>
      </c>
      <c r="Q39" s="9">
        <v>0</v>
      </c>
      <c r="R39" s="9">
        <v>0</v>
      </c>
      <c r="S39" s="9">
        <v>1</v>
      </c>
      <c r="T39" s="9">
        <f t="shared" si="13"/>
        <v>0.6</v>
      </c>
      <c r="U39" s="7">
        <f t="shared" si="11"/>
        <v>1.4</v>
      </c>
    </row>
    <row r="40" spans="1:22" s="9" customFormat="1" x14ac:dyDescent="0.2">
      <c r="A40" s="14"/>
      <c r="B40" s="9">
        <v>588</v>
      </c>
      <c r="C40" s="7">
        <v>0</v>
      </c>
      <c r="D40" s="7">
        <v>0</v>
      </c>
      <c r="E40" s="7">
        <v>1</v>
      </c>
      <c r="F40" s="7">
        <v>1</v>
      </c>
      <c r="G40" s="7">
        <v>0</v>
      </c>
      <c r="H40" s="7">
        <f t="shared" si="10"/>
        <v>0.4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9">
        <f t="shared" si="12"/>
        <v>0</v>
      </c>
      <c r="O40" s="9">
        <v>1</v>
      </c>
      <c r="P40" s="9">
        <v>1</v>
      </c>
      <c r="Q40" s="9">
        <v>0</v>
      </c>
      <c r="R40" s="9">
        <v>0</v>
      </c>
      <c r="S40" s="9">
        <v>1</v>
      </c>
      <c r="T40" s="9">
        <f t="shared" si="13"/>
        <v>0.6</v>
      </c>
      <c r="U40" s="7">
        <f t="shared" si="11"/>
        <v>1</v>
      </c>
    </row>
  </sheetData>
  <mergeCells count="7">
    <mergeCell ref="A29:A34"/>
    <mergeCell ref="A35:A40"/>
    <mergeCell ref="I6:M6"/>
    <mergeCell ref="C6:G6"/>
    <mergeCell ref="O6:S6"/>
    <mergeCell ref="A7:A16"/>
    <mergeCell ref="A17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Raktim</dc:creator>
  <cp:lastModifiedBy>Mukherjee, Raktim</cp:lastModifiedBy>
  <dcterms:created xsi:type="dcterms:W3CDTF">2025-11-07T21:50:12Z</dcterms:created>
  <dcterms:modified xsi:type="dcterms:W3CDTF">2026-03-17T20:18:25Z</dcterms:modified>
</cp:coreProperties>
</file>