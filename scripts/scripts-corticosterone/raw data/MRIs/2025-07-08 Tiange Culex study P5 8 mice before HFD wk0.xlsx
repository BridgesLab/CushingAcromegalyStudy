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umhealth-my.sharepoint.com/personal/jifeng_med_umich_edu/Documents/Desktop/Tiange Culex study/P5/"/>
    </mc:Choice>
  </mc:AlternateContent>
  <xr:revisionPtr revIDLastSave="144" documentId="8_{4831EF0D-6D6D-4996-8908-67EB72E325CC}" xr6:coauthVersionLast="47" xr6:coauthVersionMax="47" xr10:uidLastSave="{79C05359-C401-42C3-91DB-776F99FEA5BD}"/>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K25" i="3"/>
  <c r="L25" i="3"/>
  <c r="M25" i="3"/>
  <c r="N25" i="3"/>
  <c r="J26" i="3"/>
  <c r="K26" i="3"/>
  <c r="L26" i="3"/>
  <c r="M26" i="3"/>
  <c r="N26" i="3"/>
  <c r="J27" i="3"/>
  <c r="K27" i="3"/>
  <c r="L27" i="3"/>
  <c r="M27" i="3"/>
  <c r="N27" i="3"/>
  <c r="J28" i="3"/>
  <c r="K28" i="3"/>
  <c r="L28" i="3"/>
  <c r="M28" i="3"/>
  <c r="N28" i="3"/>
  <c r="J24" i="3"/>
  <c r="K24" i="3"/>
  <c r="L24" i="3"/>
  <c r="M24" i="3"/>
  <c r="N24" i="3"/>
  <c r="I55" i="3"/>
  <c r="F55" i="3"/>
  <c r="E55" i="3"/>
  <c r="H55" i="3" l="1"/>
  <c r="G55" i="3"/>
  <c r="I54" i="3"/>
  <c r="H54" i="3"/>
  <c r="G54" i="3"/>
  <c r="F54" i="3"/>
  <c r="E54" i="3"/>
  <c r="I53" i="3"/>
  <c r="H53" i="3"/>
  <c r="G53" i="3"/>
  <c r="F53" i="3"/>
  <c r="E53" i="3"/>
  <c r="I37" i="3"/>
  <c r="H37" i="3"/>
  <c r="G37" i="3"/>
  <c r="F37" i="3"/>
  <c r="E37" i="3"/>
  <c r="I36" i="3"/>
  <c r="H36" i="3"/>
  <c r="G36" i="3"/>
  <c r="F36" i="3"/>
  <c r="E36" i="3"/>
  <c r="N23" i="3"/>
  <c r="M23" i="3"/>
  <c r="L23" i="3"/>
  <c r="K23" i="3"/>
  <c r="J23"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<sst xmlns="http://schemas.openxmlformats.org/spreadsheetml/2006/main" count="81" uniqueCount="60">
  <si>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</si>
  <si>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</si>
  <si>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</si>
  <si>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</si>
  <si>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</si>
  <si>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</si>
  <si>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</si>
  <si>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</si>
  <si>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</si>
  <si>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</si>
  <si>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</si>
  <si>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</si>
  <si>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</si>
  <si>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</si>
  <si>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</si>
  <si>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</si>
  <si>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</si>
  <si>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</si>
  <si>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</si>
  <si>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</si>
  <si>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</si>
  <si>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</si>
  <si>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</si>
  <si>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</si>
  <si>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</si>
  <si>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</si>
  <si>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</si>
  <si>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</si>
  <si>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</si>
  <si>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</si>
  <si>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</si>
  <si>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</si>
  <si>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</si>
  <si>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</si>
  <si>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</si>
  <si>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</si>
  <si>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</si>
  <si>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</si>
  <si>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</si>
  <si>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</si>
  <si>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</si>
  <si>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</si>
  <si>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</si>
  <si>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</si>
  <si>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</si>
  <si>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</si>
  <si>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</si>
  <si>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</si>
  <si>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</si>
  <si>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</si>
  <si>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1) Lab Diet 5LOD</t>
  </si>
  <si>
    <t>(24.1/48.1/5.1)</t>
  </si>
  <si>
    <t xml:space="preserve">1) </t>
  </si>
  <si>
    <t>2)</t>
  </si>
  <si>
    <t xml:space="preserve">C57BL/6J; Male </t>
  </si>
  <si>
    <t>0.0001</t>
  </si>
  <si>
    <t>0.0324</t>
  </si>
  <si>
    <t>11:30:00AM</t>
  </si>
  <si>
    <t>M 10wks</t>
  </si>
  <si>
    <t>11:00:00AM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</si>
</sst>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1">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2" fontId="36" fillId="0" borderId="0" xfId="0"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4"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0" fontId="36" fillId="4" borderId="0" xfId="2" applyFont="1" applyFill="1" applyAlignment="1" applyProtection="1">
      <alignment horizontal="center"/>
      <protection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0.67902240653120471</c:v>
                  </c:pt>
                  <c:pt idx="1">
                    <c:v>0.1251989488203247</c:v>
                  </c:pt>
                  <c:pt idx="2">
                    <c:v>0.67164776057522446</c:v>
                  </c:pt>
                  <c:pt idx="3">
                    <c:v>5.900968443520835E-3</c:v>
                  </c:pt>
                  <c:pt idx="4">
                    <c:v>0.66254582051788236</c:v>
                  </c:pt>
                </c:numCache>
              </c:numRef>
            </c:plus>
            <c:minus>
              <c:numRef>
                <c:f>'EchoMRI data'!$E$37:$I$37</c:f>
                <c:numCache>
                  <c:formatCode>General</c:formatCode>
                  <c:ptCount val="5"/>
                  <c:pt idx="0">
                    <c:v>0.67902240653120471</c:v>
                  </c:pt>
                  <c:pt idx="1">
                    <c:v>0.1251989488203247</c:v>
                  </c:pt>
                  <c:pt idx="2">
                    <c:v>0.67164776057522446</c:v>
                  </c:pt>
                  <c:pt idx="3">
                    <c:v>5.900968443520835E-3</c:v>
                  </c:pt>
                  <c:pt idx="4">
                    <c:v>0.66254582051788236</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26.85</c:v>
                </c:pt>
                <c:pt idx="1">
                  <c:v>1.7437500000000001</c:v>
                </c:pt>
                <c:pt idx="2">
                  <c:v>23.950000000000003</c:v>
                </c:pt>
                <c:pt idx="3">
                  <c:v>7.2499999999999995E-2</c:v>
                </c:pt>
                <c:pt idx="4">
                  <c:v>20.4375</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0.5036746734666554</c:v>
                  </c:pt>
                  <c:pt idx="1">
                    <c:v>0.49661882152262354</c:v>
                  </c:pt>
                  <c:pt idx="2">
                    <c:v>2.6520491238575281E-2</c:v>
                  </c:pt>
                  <c:pt idx="3">
                    <c:v>1.0196167953134505</c:v>
                  </c:pt>
                </c:numCache>
              </c:numRef>
            </c:plus>
            <c:minus>
              <c:numRef>
                <c:f>'EchoMRI data'!$J$37:$M$37</c:f>
                <c:numCache>
                  <c:formatCode>General</c:formatCode>
                  <c:ptCount val="4"/>
                  <c:pt idx="0">
                    <c:v>0.5036746734666554</c:v>
                  </c:pt>
                  <c:pt idx="1">
                    <c:v>0.49661882152262354</c:v>
                  </c:pt>
                  <c:pt idx="2">
                    <c:v>2.6520491238575281E-2</c:v>
                  </c:pt>
                  <c:pt idx="3">
                    <c:v>1.0196167953134505</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6.5292393944335103</c:v>
                </c:pt>
                <c:pt idx="1">
                  <c:v>89.166372570077414</c:v>
                </c:pt>
                <c:pt idx="2">
                  <c:v>0.27310702667312808</c:v>
                </c:pt>
                <c:pt idx="3">
                  <c:v>76.062446853947208</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workbookViewId="0">
      <selection activeCell="G32" sqref="G32"/>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36" t="s">
        <v>0</v>
      </c>
      <c r="B2" s="237"/>
      <c r="C2" s="237"/>
      <c r="D2" s="237"/>
      <c r="E2" s="237"/>
      <c r="F2" s="237"/>
      <c r="G2" s="237"/>
      <c r="H2" s="236" t="s">
        <v>1</v>
      </c>
      <c r="I2" s="237"/>
      <c r="J2" s="237"/>
      <c r="K2" s="237"/>
      <c r="L2" s="237"/>
      <c r="M2" s="237"/>
      <c r="N2" s="238"/>
      <c r="O2" s="239" t="s">
        <v>2</v>
      </c>
      <c r="P2" s="239"/>
      <c r="Q2" s="239"/>
      <c r="R2" s="239"/>
      <c r="S2" s="239"/>
      <c r="T2" s="239"/>
      <c r="U2" s="239"/>
      <c r="V2" s="239"/>
      <c r="W2" s="240"/>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54</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52</v>
      </c>
      <c r="F8" s="19"/>
      <c r="G8" s="52"/>
      <c r="H8" s="218">
        <v>45846</v>
      </c>
      <c r="I8" s="219">
        <v>4500.1180000000004</v>
      </c>
      <c r="J8" s="220" t="s">
        <v>55</v>
      </c>
      <c r="K8" s="221" t="s">
        <v>56</v>
      </c>
      <c r="L8" s="222">
        <v>22.5</v>
      </c>
      <c r="M8" s="223">
        <v>0.26</v>
      </c>
      <c r="N8" s="224" t="s">
        <v>57</v>
      </c>
      <c r="O8" s="19"/>
      <c r="P8" s="18"/>
      <c r="Q8" s="18"/>
      <c r="R8" s="19"/>
      <c r="S8" s="19"/>
      <c r="T8" s="19"/>
      <c r="U8" s="19"/>
      <c r="V8" s="19"/>
      <c r="W8" s="20"/>
    </row>
    <row r="9" spans="1:23" ht="12.75" customHeight="1" x14ac:dyDescent="0.2">
      <c r="A9" s="25"/>
      <c r="B9" s="19"/>
      <c r="C9" s="19"/>
      <c r="D9" s="19"/>
      <c r="E9" s="18" t="s">
        <v>53</v>
      </c>
      <c r="F9" s="19"/>
      <c r="G9" s="53"/>
      <c r="H9" s="227">
        <v>45860</v>
      </c>
      <c r="I9" s="228">
        <v>4500.1580000000004</v>
      </c>
      <c r="J9" s="229">
        <v>3.0999999999999999E-3</v>
      </c>
      <c r="K9" s="230">
        <v>3.1300000000000001E-2</v>
      </c>
      <c r="L9" s="228">
        <v>22.4</v>
      </c>
      <c r="M9" s="231">
        <v>0.26</v>
      </c>
      <c r="N9" s="230" t="s">
        <v>59</v>
      </c>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50</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51</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34"/>
      <c r="P15" s="234"/>
      <c r="Q15" s="234"/>
      <c r="R15" s="234"/>
      <c r="S15" s="234"/>
      <c r="T15" s="234"/>
      <c r="U15" s="234"/>
      <c r="V15" s="234"/>
      <c r="W15" s="235"/>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5" t="s">
        <v>58</v>
      </c>
      <c r="D21" s="216">
        <v>5997</v>
      </c>
      <c r="E21" s="206">
        <v>24.3</v>
      </c>
      <c r="F21" s="207">
        <v>1.35</v>
      </c>
      <c r="G21" s="207">
        <v>21.83</v>
      </c>
      <c r="H21" s="207">
        <v>0.09</v>
      </c>
      <c r="I21" s="208">
        <v>18.850000000000001</v>
      </c>
      <c r="J21" s="202">
        <f t="shared" ref="J21:J23" si="0">F21/E21*100</f>
        <v>5.5555555555555562</v>
      </c>
      <c r="K21" s="203">
        <f t="shared" ref="K21:K23" si="1">G21/E21*100</f>
        <v>89.835390946502045</v>
      </c>
      <c r="L21" s="203">
        <f t="shared" ref="L21:L23" si="2">H21/E21*100</f>
        <v>0.37037037037037035</v>
      </c>
      <c r="M21" s="204">
        <f>I21/E21*100</f>
        <v>77.57201646090536</v>
      </c>
      <c r="N21" s="205">
        <f>(I21-H21)/G21*100</f>
        <v>85.936784241869006</v>
      </c>
      <c r="O21" s="96"/>
      <c r="P21" s="97"/>
      <c r="Q21" s="55"/>
      <c r="R21" s="55"/>
      <c r="S21" s="55"/>
      <c r="T21" s="56"/>
      <c r="U21" s="98"/>
      <c r="V21" s="99"/>
      <c r="W21" s="87"/>
    </row>
    <row r="22" spans="1:23" ht="12.75" customHeight="1" x14ac:dyDescent="0.25">
      <c r="A22" s="171"/>
      <c r="B22" s="101">
        <v>2</v>
      </c>
      <c r="C22" s="226" t="s">
        <v>58</v>
      </c>
      <c r="D22" s="217">
        <v>5998</v>
      </c>
      <c r="E22" s="199">
        <v>26.5</v>
      </c>
      <c r="F22" s="200">
        <v>2.2599999999999998</v>
      </c>
      <c r="G22" s="200">
        <v>23.01</v>
      </c>
      <c r="H22" s="200">
        <v>7.0000000000000007E-2</v>
      </c>
      <c r="I22" s="209">
        <v>18.489999999999998</v>
      </c>
      <c r="J22" s="210">
        <f t="shared" si="0"/>
        <v>8.5283018867924518</v>
      </c>
      <c r="K22" s="211">
        <f t="shared" si="1"/>
        <v>86.830188679245296</v>
      </c>
      <c r="L22" s="211">
        <f t="shared" si="2"/>
        <v>0.26415094339622641</v>
      </c>
      <c r="M22" s="212">
        <f>I22/E22*100</f>
        <v>69.773584905660371</v>
      </c>
      <c r="N22" s="213">
        <f>(I22-H22)/G22*100</f>
        <v>80.052151238591904</v>
      </c>
      <c r="O22" s="96"/>
      <c r="P22" s="97"/>
      <c r="Q22" s="55"/>
      <c r="R22" s="55"/>
      <c r="S22" s="55"/>
      <c r="T22" s="56"/>
      <c r="U22" s="98"/>
      <c r="V22" s="99"/>
      <c r="W22" s="87"/>
    </row>
    <row r="23" spans="1:23" ht="12.75" customHeight="1" x14ac:dyDescent="0.25">
      <c r="A23" s="38"/>
      <c r="B23" s="101">
        <v>3</v>
      </c>
      <c r="C23" s="226" t="s">
        <v>58</v>
      </c>
      <c r="D23" s="217">
        <v>5999</v>
      </c>
      <c r="E23" s="199">
        <v>25</v>
      </c>
      <c r="F23" s="200">
        <v>1.64</v>
      </c>
      <c r="G23" s="200">
        <v>22.33</v>
      </c>
      <c r="H23" s="200">
        <v>0.06</v>
      </c>
      <c r="I23" s="209">
        <v>18.96</v>
      </c>
      <c r="J23" s="210">
        <f t="shared" si="0"/>
        <v>6.5599999999999987</v>
      </c>
      <c r="K23" s="211">
        <f t="shared" si="1"/>
        <v>89.32</v>
      </c>
      <c r="L23" s="211">
        <f t="shared" si="2"/>
        <v>0.24</v>
      </c>
      <c r="M23" s="212">
        <f t="shared" ref="M23" si="3">I23/E23*100</f>
        <v>75.84</v>
      </c>
      <c r="N23" s="213">
        <f t="shared" ref="N23" si="4">(I23-H23)/G23*100</f>
        <v>84.639498432601897</v>
      </c>
      <c r="O23" s="96"/>
      <c r="P23" s="97"/>
      <c r="Q23" s="55"/>
      <c r="R23" s="55"/>
      <c r="S23" s="55"/>
      <c r="T23" s="56"/>
      <c r="U23" s="98"/>
      <c r="V23" s="99"/>
      <c r="W23" s="87"/>
    </row>
    <row r="24" spans="1:23" ht="12.75" customHeight="1" x14ac:dyDescent="0.25">
      <c r="A24" s="196"/>
      <c r="B24" s="101">
        <v>4</v>
      </c>
      <c r="C24" s="226" t="s">
        <v>58</v>
      </c>
      <c r="D24" s="217">
        <v>6000</v>
      </c>
      <c r="E24" s="199">
        <v>25.4</v>
      </c>
      <c r="F24" s="200">
        <v>1.95</v>
      </c>
      <c r="G24" s="200">
        <v>22.37</v>
      </c>
      <c r="H24" s="200">
        <v>0.1</v>
      </c>
      <c r="I24" s="209">
        <v>19.27</v>
      </c>
      <c r="J24" s="210">
        <f t="shared" ref="J24" si="5">F24/E24*100</f>
        <v>7.6771653543307092</v>
      </c>
      <c r="K24" s="211">
        <f t="shared" ref="K24" si="6">G24/E24*100</f>
        <v>88.070866141732296</v>
      </c>
      <c r="L24" s="211">
        <f t="shared" ref="L24" si="7">H24/E24*100</f>
        <v>0.39370078740157488</v>
      </c>
      <c r="M24" s="212">
        <f t="shared" ref="M24" si="8">I24/E24*100</f>
        <v>75.866141732283467</v>
      </c>
      <c r="N24" s="213">
        <f t="shared" ref="N24" si="9">(I24-H24)/G24*100</f>
        <v>85.695127402771547</v>
      </c>
      <c r="O24" s="96"/>
      <c r="P24" s="97"/>
      <c r="Q24" s="55"/>
      <c r="R24" s="55"/>
      <c r="S24" s="55"/>
      <c r="T24" s="56"/>
      <c r="U24" s="98"/>
      <c r="V24" s="99"/>
      <c r="W24" s="87"/>
    </row>
    <row r="25" spans="1:23" ht="12.75" customHeight="1" x14ac:dyDescent="0.25">
      <c r="A25" s="100"/>
      <c r="B25" s="101">
        <v>5</v>
      </c>
      <c r="C25" s="226" t="s">
        <v>58</v>
      </c>
      <c r="D25" s="232">
        <v>792</v>
      </c>
      <c r="E25" s="199">
        <v>27.1</v>
      </c>
      <c r="F25" s="200">
        <v>2.2200000000000002</v>
      </c>
      <c r="G25" s="200">
        <v>24.01</v>
      </c>
      <c r="H25" s="200">
        <v>7.0000000000000007E-2</v>
      </c>
      <c r="I25" s="209">
        <v>20.239999999999998</v>
      </c>
      <c r="J25" s="210">
        <f t="shared" ref="J25:J28" si="10">F25/E25*100</f>
        <v>8.1918819188191883</v>
      </c>
      <c r="K25" s="211">
        <f t="shared" ref="K25:K28" si="11">G25/E25*100</f>
        <v>88.597785977859772</v>
      </c>
      <c r="L25" s="211">
        <f t="shared" ref="L25:L28" si="12">H25/E25*100</f>
        <v>0.25830258302583026</v>
      </c>
      <c r="M25" s="212">
        <f t="shared" ref="M25:M28" si="13">I25/E25*100</f>
        <v>74.686346863468628</v>
      </c>
      <c r="N25" s="213">
        <f t="shared" ref="N25:N28" si="14">(I25-H25)/G25*100</f>
        <v>84.0066638900458</v>
      </c>
      <c r="O25" s="96"/>
      <c r="P25" s="97"/>
      <c r="Q25" s="55"/>
      <c r="R25" s="55"/>
      <c r="S25" s="55"/>
      <c r="T25" s="56"/>
      <c r="U25" s="98"/>
      <c r="V25" s="99"/>
      <c r="W25" s="87"/>
    </row>
    <row r="26" spans="1:23" ht="12.75" customHeight="1" x14ac:dyDescent="0.25">
      <c r="A26" s="100"/>
      <c r="B26" s="101">
        <v>6</v>
      </c>
      <c r="C26" s="226" t="s">
        <v>58</v>
      </c>
      <c r="D26" s="233">
        <v>793</v>
      </c>
      <c r="E26" s="199">
        <v>27.9</v>
      </c>
      <c r="F26" s="200">
        <v>1.55</v>
      </c>
      <c r="G26" s="200">
        <v>24.9</v>
      </c>
      <c r="H26" s="200">
        <v>0.05</v>
      </c>
      <c r="I26" s="209">
        <v>21.83</v>
      </c>
      <c r="J26" s="210">
        <f t="shared" si="10"/>
        <v>5.5555555555555562</v>
      </c>
      <c r="K26" s="211">
        <f t="shared" si="11"/>
        <v>89.247311827956992</v>
      </c>
      <c r="L26" s="211">
        <f t="shared" si="12"/>
        <v>0.17921146953405021</v>
      </c>
      <c r="M26" s="212">
        <f t="shared" si="13"/>
        <v>78.243727598566309</v>
      </c>
      <c r="N26" s="213">
        <f t="shared" si="14"/>
        <v>87.469879518072275</v>
      </c>
      <c r="O26" s="96"/>
      <c r="P26" s="97"/>
      <c r="Q26" s="55"/>
      <c r="R26" s="55"/>
      <c r="S26" s="55"/>
      <c r="T26" s="56"/>
      <c r="U26" s="98"/>
      <c r="V26" s="99"/>
      <c r="W26" s="87"/>
    </row>
    <row r="27" spans="1:23" ht="12.75" customHeight="1" x14ac:dyDescent="0.25">
      <c r="A27" s="100"/>
      <c r="B27" s="101">
        <v>7</v>
      </c>
      <c r="C27" s="226" t="s">
        <v>58</v>
      </c>
      <c r="D27" s="233">
        <v>794</v>
      </c>
      <c r="E27" s="199">
        <v>29.8</v>
      </c>
      <c r="F27" s="200">
        <v>1.56</v>
      </c>
      <c r="G27" s="200">
        <v>26.77</v>
      </c>
      <c r="H27" s="200">
        <v>0.06</v>
      </c>
      <c r="I27" s="209">
        <v>23.33</v>
      </c>
      <c r="J27" s="210">
        <f t="shared" si="10"/>
        <v>5.2348993288590604</v>
      </c>
      <c r="K27" s="211">
        <f t="shared" si="11"/>
        <v>89.832214765100673</v>
      </c>
      <c r="L27" s="211">
        <f t="shared" si="12"/>
        <v>0.20134228187919462</v>
      </c>
      <c r="M27" s="212">
        <f t="shared" si="13"/>
        <v>78.288590604026837</v>
      </c>
      <c r="N27" s="213">
        <f t="shared" si="14"/>
        <v>86.925663055659314</v>
      </c>
      <c r="O27" s="96"/>
      <c r="P27" s="97"/>
      <c r="Q27" s="55"/>
      <c r="R27" s="55"/>
      <c r="S27" s="55"/>
      <c r="T27" s="56"/>
      <c r="U27" s="98"/>
      <c r="V27" s="99"/>
      <c r="W27" s="87"/>
    </row>
    <row r="28" spans="1:23" ht="12.75" customHeight="1" x14ac:dyDescent="0.25">
      <c r="A28" s="100"/>
      <c r="B28" s="101">
        <v>8</v>
      </c>
      <c r="C28" s="226" t="s">
        <v>58</v>
      </c>
      <c r="D28" s="233">
        <v>795</v>
      </c>
      <c r="E28" s="199">
        <v>28.8</v>
      </c>
      <c r="F28" s="200">
        <v>1.42</v>
      </c>
      <c r="G28" s="200">
        <v>26.38</v>
      </c>
      <c r="H28" s="200">
        <v>0.08</v>
      </c>
      <c r="I28" s="209">
        <v>22.53</v>
      </c>
      <c r="J28" s="210">
        <f t="shared" si="10"/>
        <v>4.9305555555555554</v>
      </c>
      <c r="K28" s="211">
        <f t="shared" si="11"/>
        <v>91.597222222222214</v>
      </c>
      <c r="L28" s="211">
        <f t="shared" si="12"/>
        <v>0.27777777777777779</v>
      </c>
      <c r="M28" s="212">
        <f t="shared" si="13"/>
        <v>78.229166666666671</v>
      </c>
      <c r="N28" s="213">
        <f t="shared" si="14"/>
        <v>85.102350265352555</v>
      </c>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26.85</v>
      </c>
      <c r="F36" s="112">
        <f t="shared" ref="F36:I36" si="15">AVERAGE(F21:F35)</f>
        <v>1.7437500000000001</v>
      </c>
      <c r="G36" s="112">
        <f t="shared" si="15"/>
        <v>23.950000000000003</v>
      </c>
      <c r="H36" s="112">
        <f t="shared" si="15"/>
        <v>7.2499999999999995E-2</v>
      </c>
      <c r="I36" s="113">
        <f t="shared" si="15"/>
        <v>20.4375</v>
      </c>
      <c r="J36" s="111">
        <f>AVERAGE(J21:J35)</f>
        <v>6.5292393944335103</v>
      </c>
      <c r="K36" s="112">
        <f t="shared" ref="K36:N36" si="16">AVERAGE(K21:K35)</f>
        <v>89.166372570077414</v>
      </c>
      <c r="L36" s="112">
        <f t="shared" si="16"/>
        <v>0.27310702667312808</v>
      </c>
      <c r="M36" s="112">
        <f t="shared" si="16"/>
        <v>76.062446853947208</v>
      </c>
      <c r="N36" s="113">
        <f t="shared" si="16"/>
        <v>84.978514755620537</v>
      </c>
      <c r="O36" s="114"/>
      <c r="P36" s="106"/>
      <c r="Q36" s="57"/>
      <c r="R36" s="58"/>
      <c r="S36" s="99"/>
      <c r="T36" s="106"/>
      <c r="U36" s="75"/>
      <c r="V36" s="75"/>
      <c r="W36" s="87"/>
    </row>
    <row r="37" spans="1:23" ht="12.75" customHeight="1" thickBot="1" x14ac:dyDescent="0.3">
      <c r="A37" s="115"/>
      <c r="B37" s="116"/>
      <c r="C37" s="117"/>
      <c r="D37" s="164" t="s">
        <v>42</v>
      </c>
      <c r="E37" s="118">
        <f>STDEV(E21:E35)/SQRT(COUNT(E21:E35))</f>
        <v>0.67902240653120471</v>
      </c>
      <c r="F37" s="119">
        <f t="shared" ref="F37:I37" si="17">STDEV(F21:F35)/SQRT(COUNT(F21:F35))</f>
        <v>0.1251989488203247</v>
      </c>
      <c r="G37" s="119">
        <f t="shared" si="17"/>
        <v>0.67164776057522446</v>
      </c>
      <c r="H37" s="119">
        <f t="shared" si="17"/>
        <v>5.900968443520835E-3</v>
      </c>
      <c r="I37" s="120">
        <f t="shared" si="17"/>
        <v>0.66254582051788236</v>
      </c>
      <c r="J37" s="118">
        <f>STDEV(J21:J35)/SQRT(COUNT(J21:J35))</f>
        <v>0.5036746734666554</v>
      </c>
      <c r="K37" s="119">
        <f t="shared" ref="K37:N37" si="18">STDEV(K21:K35)/SQRT(COUNT(K21:K35))</f>
        <v>0.49661882152262354</v>
      </c>
      <c r="L37" s="119">
        <f t="shared" si="18"/>
        <v>2.6520491238575281E-2</v>
      </c>
      <c r="M37" s="119">
        <f t="shared" si="18"/>
        <v>1.0196167953134505</v>
      </c>
      <c r="N37" s="120">
        <f t="shared" si="18"/>
        <v>0.81035615939441963</v>
      </c>
      <c r="O37" s="114"/>
      <c r="P37" s="106"/>
      <c r="Q37" s="57"/>
      <c r="R37" s="58"/>
      <c r="S37" s="99"/>
      <c r="T37" s="106"/>
      <c r="U37" s="75"/>
      <c r="V37" s="75"/>
      <c r="W37" s="87"/>
    </row>
    <row r="38" spans="1:23" ht="12.75" customHeight="1" x14ac:dyDescent="0.25">
      <c r="A38" s="121" t="s">
        <v>43</v>
      </c>
      <c r="B38" s="122">
        <v>1</v>
      </c>
      <c r="C38" s="214"/>
      <c r="D38" s="215"/>
      <c r="E38" s="199"/>
      <c r="F38" s="200"/>
      <c r="G38" s="200"/>
      <c r="H38" s="200"/>
      <c r="I38" s="201"/>
      <c r="J38" s="202"/>
      <c r="K38" s="203"/>
      <c r="L38" s="203"/>
      <c r="M38" s="204"/>
      <c r="N38" s="205"/>
      <c r="O38" s="75"/>
      <c r="P38" s="75"/>
      <c r="Q38" s="75"/>
      <c r="R38" s="75"/>
      <c r="S38" s="75"/>
      <c r="T38" s="75"/>
      <c r="U38" s="75"/>
      <c r="V38" s="75"/>
      <c r="W38" s="87"/>
    </row>
    <row r="39" spans="1:23" ht="12.75" customHeight="1" x14ac:dyDescent="0.25">
      <c r="A39" s="121"/>
      <c r="B39" s="122">
        <v>2</v>
      </c>
      <c r="C39" s="160"/>
      <c r="D39" s="198"/>
      <c r="E39" s="178"/>
      <c r="F39" s="179"/>
      <c r="G39" s="179"/>
      <c r="H39" s="179"/>
      <c r="I39" s="197"/>
      <c r="J39" s="93"/>
      <c r="K39" s="94"/>
      <c r="L39" s="94"/>
      <c r="M39" s="103"/>
      <c r="N39" s="95"/>
      <c r="O39" s="75"/>
      <c r="P39" s="75"/>
      <c r="Q39" s="75"/>
      <c r="R39" s="75"/>
      <c r="S39" s="75"/>
      <c r="T39" s="75"/>
      <c r="U39" s="75"/>
      <c r="V39" s="75"/>
      <c r="W39" s="87"/>
    </row>
    <row r="40" spans="1:23" ht="12.75" customHeight="1" x14ac:dyDescent="0.25">
      <c r="A40" s="40"/>
      <c r="B40" s="122">
        <v>3</v>
      </c>
      <c r="C40" s="160"/>
      <c r="D40" s="198"/>
      <c r="E40" s="178"/>
      <c r="F40" s="179"/>
      <c r="G40" s="179"/>
      <c r="H40" s="179"/>
      <c r="I40" s="197"/>
      <c r="J40" s="93"/>
      <c r="K40" s="94"/>
      <c r="L40" s="94"/>
      <c r="M40" s="103"/>
      <c r="N40" s="95"/>
      <c r="O40" s="75"/>
      <c r="P40" s="75"/>
      <c r="Q40" s="75"/>
      <c r="R40" s="75"/>
      <c r="S40" s="75"/>
      <c r="T40" s="75"/>
      <c r="U40" s="75"/>
      <c r="V40" s="75"/>
      <c r="W40" s="87"/>
    </row>
    <row r="41" spans="1:23" ht="12.75" customHeight="1" x14ac:dyDescent="0.25">
      <c r="A41" s="121"/>
      <c r="B41" s="39">
        <v>4</v>
      </c>
      <c r="C41" s="160"/>
      <c r="D41" s="198"/>
      <c r="E41" s="178"/>
      <c r="F41" s="179"/>
      <c r="G41" s="179"/>
      <c r="H41" s="179"/>
      <c r="I41" s="197"/>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 t="shared" ref="F53:I53" si="19">AVERAGE(F38:F52)</f>
        <v>#DIV/0!</v>
      </c>
      <c r="G53" s="112" t="e">
        <f t="shared" si="19"/>
        <v>#DIV/0!</v>
      </c>
      <c r="H53" s="112" t="e">
        <f t="shared" si="19"/>
        <v>#DIV/0!</v>
      </c>
      <c r="I53" s="113" t="e">
        <f t="shared" si="19"/>
        <v>#DIV/0!</v>
      </c>
      <c r="J53" s="111" t="e">
        <f>AVERAGE(J38:J52)</f>
        <v>#DIV/0!</v>
      </c>
      <c r="K53" s="112" t="e">
        <f t="shared" ref="K53:N53" si="20">AVERAGE(K38:K52)</f>
        <v>#DIV/0!</v>
      </c>
      <c r="L53" s="112" t="e">
        <f t="shared" si="20"/>
        <v>#DIV/0!</v>
      </c>
      <c r="M53" s="112" t="e">
        <f t="shared" si="20"/>
        <v>#DIV/0!</v>
      </c>
      <c r="N53" s="113" t="e">
        <f t="shared" si="20"/>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 t="shared" ref="F54:I54" si="21">STDEV(F38:F52)/SQRT(COUNT(F38:F52))</f>
        <v>#DIV/0!</v>
      </c>
      <c r="G54" s="119" t="e">
        <f t="shared" si="21"/>
        <v>#DIV/0!</v>
      </c>
      <c r="H54" s="119" t="e">
        <f t="shared" si="21"/>
        <v>#DIV/0!</v>
      </c>
      <c r="I54" s="120" t="e">
        <f t="shared" si="21"/>
        <v>#DIV/0!</v>
      </c>
      <c r="J54" s="118" t="e">
        <f>STDEV(J38:J52)/SQRT(COUNT(J38:J52))</f>
        <v>#DIV/0!</v>
      </c>
      <c r="K54" s="119" t="e">
        <f t="shared" ref="K54:N54" si="22">STDEV(K38:K52)/SQRT(COUNT(K38:K52))</f>
        <v>#DIV/0!</v>
      </c>
      <c r="L54" s="119" t="e">
        <f t="shared" si="22"/>
        <v>#DIV/0!</v>
      </c>
      <c r="M54" s="119" t="e">
        <f t="shared" si="22"/>
        <v>#DIV/0!</v>
      </c>
      <c r="N54" s="120" t="e">
        <f t="shared" si="22"/>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 t="shared" ref="G55:N55" si="23">TTEST(G21:G35,G38:G52,2,2)</f>
        <v>#DIV/0!</v>
      </c>
      <c r="H55" s="146" t="e">
        <f t="shared" si="23"/>
        <v>#DIV/0!</v>
      </c>
      <c r="I55" s="146" t="e">
        <f>TTEST(I21:I35,I38:I52,2,2)</f>
        <v>#DIV/0!</v>
      </c>
      <c r="J55" s="146" t="e">
        <f t="shared" si="23"/>
        <v>#DIV/0!</v>
      </c>
      <c r="K55" s="146" t="e">
        <f t="shared" si="23"/>
        <v>#DIV/0!</v>
      </c>
      <c r="L55" s="146" t="e">
        <f t="shared" si="23"/>
        <v>#DIV/0!</v>
      </c>
      <c r="M55" s="146" t="e">
        <f t="shared" si="23"/>
        <v>#DIV/0!</v>
      </c>
      <c r="N55" s="146" t="e">
        <f t="shared" si="23"/>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2025-07-22T18:06:46Z</dcterms:modified>
</cp:coreProperties>
</file>