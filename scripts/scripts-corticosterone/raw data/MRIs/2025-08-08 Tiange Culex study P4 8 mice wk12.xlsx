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P4/"/>
    </mc:Choice>
  </mc:AlternateContent>
  <xr:revisionPtr revIDLastSave="116" documentId="13_ncr:1_{627C23A5-FAF1-43FA-91E3-EC893D7EE15D}" xr6:coauthVersionLast="47" xr6:coauthVersionMax="47" xr10:uidLastSave="{4EDEA614-F05F-464A-B3E7-E727C6BE4C42}"/>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<sst xmlns="http://schemas.openxmlformats.org/spreadsheetml/2006/main" count="81" uniqueCount="60">
  <si>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</si>
  <si>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</si>
  <si>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</si>
  <si>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</si>
  <si>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</si>
  <si>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</si>
  <si>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</si>
  <si>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</si>
  <si>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</si>
  <si>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</si>
  <si>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</si>
  <si>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</si>
  <si>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</si>
  <si>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</si>
  <si>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</si>
  <si>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</si>
  <si>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</si>
  <si>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</si>
  <si>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</si>
  <si>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</si>
  <si>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</si>
  <si>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</si>
  <si>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</si>
  <si>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</si>
  <si>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</si>
  <si>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</si>
  <si>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</si>
  <si>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</si>
  <si>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</si>
  <si>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</si>
  <si>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</si>
  <si>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</si>
  <si>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</si>
  <si>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</si>
  <si>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</si>
  <si>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</si>
  <si>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</si>
  <si>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</si>
  <si>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</si>
  <si>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</si>
  <si>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</si>
  <si>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</si>
  <si>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</si>
  <si>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</si>
  <si>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</si>
  <si>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</si>
  <si>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</si>
  <si>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</si>
  <si>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</si>
  <si>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</si>
  <si>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1) Lab Diet 5LOD</t>
  </si>
  <si>
    <t>(24.1/48.1/5.1)</t>
  </si>
  <si>
    <t xml:space="preserve">1) </t>
  </si>
  <si>
    <t>2)</t>
  </si>
  <si>
    <t xml:space="preserve">C57BL/6J; Male </t>
  </si>
  <si>
    <t>M 20-21wks</t>
  </si>
  <si>
    <t>0.0000</t>
  </si>
  <si>
    <t>0.0388</t>
  </si>
  <si>
    <t>11:00:00AM</t>
  </si>
  <si>
    <t>10:30:00PM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</si>
</sst>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0.43749999999999994</c:v>
                  </c:pt>
                  <c:pt idx="1">
                    <c:v>0.20653983963667405</c:v>
                  </c:pt>
                  <c:pt idx="2">
                    <c:v>0.51535615285520187</c:v>
                  </c:pt>
                  <c:pt idx="3">
                    <c:v>1.5972912338438134E-2</c:v>
                  </c:pt>
                  <c:pt idx="4">
                    <c:v>0.45450301547011601</c:v>
                  </c:pt>
                </c:numCache>
              </c:numRef>
            </c:plus>
            <c:minus>
              <c:numRef>
                <c:f>'EchoMRI data'!$E$37:$I$37</c:f>
                <c:numCache>
                  <c:formatCode>General</c:formatCode>
                  <c:ptCount val="5"/>
                  <c:pt idx="0">
                    <c:v>0.43749999999999994</c:v>
                  </c:pt>
                  <c:pt idx="1">
                    <c:v>0.20653983963667405</c:v>
                  </c:pt>
                  <c:pt idx="2">
                    <c:v>0.51535615285520187</c:v>
                  </c:pt>
                  <c:pt idx="3">
                    <c:v>1.5972912338438134E-2</c:v>
                  </c:pt>
                  <c:pt idx="4">
                    <c:v>0.45450301547011601</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30.0625</c:v>
                </c:pt>
                <c:pt idx="1">
                  <c:v>2.92875</c:v>
                </c:pt>
                <c:pt idx="2">
                  <c:v>25.842499999999998</c:v>
                </c:pt>
                <c:pt idx="3">
                  <c:v>0.17124999999999999</c:v>
                </c:pt>
                <c:pt idx="4">
                  <c:v>22.201250000000002</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0.71888396211294625</c:v>
                  </c:pt>
                  <c:pt idx="1">
                    <c:v>0.75935433435265343</c:v>
                  </c:pt>
                  <c:pt idx="2">
                    <c:v>5.0910168680557345E-2</c:v>
                  </c:pt>
                  <c:pt idx="3">
                    <c:v>0.67928270680176206</c:v>
                  </c:pt>
                </c:numCache>
              </c:numRef>
            </c:plus>
            <c:minus>
              <c:numRef>
                <c:f>'EchoMRI data'!$J$37:$M$37</c:f>
                <c:numCache>
                  <c:formatCode>General</c:formatCode>
                  <c:ptCount val="4"/>
                  <c:pt idx="0">
                    <c:v>0.71888396211294625</c:v>
                  </c:pt>
                  <c:pt idx="1">
                    <c:v>0.75935433435265343</c:v>
                  </c:pt>
                  <c:pt idx="2">
                    <c:v>5.0910168680557345E-2</c:v>
                  </c:pt>
                  <c:pt idx="3">
                    <c:v>0.67928270680176206</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9.7700729960738961</c:v>
                </c:pt>
                <c:pt idx="1">
                  <c:v>85.930818057811834</c:v>
                </c:pt>
                <c:pt idx="2">
                  <c:v>0.56935787359822476</c:v>
                </c:pt>
                <c:pt idx="3">
                  <c:v>73.819248548538781</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topLeftCell="A11" workbookViewId="0">
      <selection activeCell="E25" sqref="E25"/>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54</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52</v>
      </c>
      <c r="F8" s="19"/>
      <c r="G8" s="52"/>
      <c r="H8" s="218">
        <v>45877</v>
      </c>
      <c r="I8" s="219">
        <v>4500.2870000000003</v>
      </c>
      <c r="J8" s="220" t="s">
        <v>56</v>
      </c>
      <c r="K8" s="221" t="s">
        <v>57</v>
      </c>
      <c r="L8" s="222">
        <v>22.3</v>
      </c>
      <c r="M8" s="223">
        <v>0.66</v>
      </c>
      <c r="N8" s="224" t="s">
        <v>58</v>
      </c>
      <c r="O8" s="19"/>
      <c r="P8" s="18"/>
      <c r="Q8" s="18"/>
      <c r="R8" s="19"/>
      <c r="S8" s="19"/>
      <c r="T8" s="19"/>
      <c r="U8" s="19"/>
      <c r="V8" s="19"/>
      <c r="W8" s="20"/>
    </row>
    <row r="9" spans="1:23" ht="12.75" customHeight="1" x14ac:dyDescent="0.2">
      <c r="A9" s="25"/>
      <c r="B9" s="19"/>
      <c r="C9" s="19"/>
      <c r="D9" s="19"/>
      <c r="E9" s="18" t="s">
        <v>53</v>
      </c>
      <c r="F9" s="19"/>
      <c r="G9" s="53"/>
      <c r="H9" s="227">
        <v>45884</v>
      </c>
      <c r="I9" s="228">
        <v>4500.2929999999997</v>
      </c>
      <c r="J9" s="233">
        <v>0</v>
      </c>
      <c r="K9" s="229">
        <v>3.2000000000000001E-2</v>
      </c>
      <c r="L9" s="228">
        <v>22.3</v>
      </c>
      <c r="M9" s="230">
        <v>0.66</v>
      </c>
      <c r="N9" s="229" t="s">
        <v>59</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50</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51</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55</v>
      </c>
      <c r="D21" s="216">
        <v>581</v>
      </c>
      <c r="E21" s="206">
        <v>31.4</v>
      </c>
      <c r="F21" s="207">
        <v>2.29</v>
      </c>
      <c r="G21" s="207">
        <v>27.75</v>
      </c>
      <c r="H21" s="207">
        <v>0.13</v>
      </c>
      <c r="I21" s="208">
        <v>23.87</v>
      </c>
      <c r="J21" s="202">
        <f t="shared" ref="J21:J23" si="0">F21/E21*100</f>
        <v>7.2929936305732479</v>
      </c>
      <c r="K21" s="203">
        <f t="shared" ref="K21:K23" si="1">G21/E21*100</f>
        <v>88.375796178343961</v>
      </c>
      <c r="L21" s="203">
        <f t="shared" ref="L21:L23" si="2">H21/E21*100</f>
        <v>0.4140127388535032</v>
      </c>
      <c r="M21" s="204">
        <f>I21/E21*100</f>
        <v>76.019108280254784</v>
      </c>
      <c r="N21" s="205">
        <f>(I21-H21)/G21*100</f>
        <v>85.549549549549553</v>
      </c>
      <c r="O21" s="96"/>
      <c r="P21" s="97"/>
      <c r="Q21" s="55"/>
      <c r="R21" s="55"/>
      <c r="S21" s="55"/>
      <c r="T21" s="56"/>
      <c r="U21" s="98"/>
      <c r="V21" s="99"/>
      <c r="W21" s="87"/>
    </row>
    <row r="22" spans="1:23" ht="12.75" customHeight="1" x14ac:dyDescent="0.25">
      <c r="A22" s="171"/>
      <c r="B22" s="101">
        <v>2</v>
      </c>
      <c r="C22" s="226" t="s">
        <v>55</v>
      </c>
      <c r="D22" s="217">
        <v>582</v>
      </c>
      <c r="E22" s="199">
        <v>28.6</v>
      </c>
      <c r="F22" s="200">
        <v>3.03</v>
      </c>
      <c r="G22" s="200">
        <v>24.32</v>
      </c>
      <c r="H22" s="200">
        <v>0.14000000000000001</v>
      </c>
      <c r="I22" s="209">
        <v>21.2</v>
      </c>
      <c r="J22" s="210">
        <f t="shared" si="0"/>
        <v>10.594405594405593</v>
      </c>
      <c r="K22" s="211">
        <f t="shared" si="1"/>
        <v>85.034965034965026</v>
      </c>
      <c r="L22" s="211">
        <f t="shared" si="2"/>
        <v>0.48951048951048953</v>
      </c>
      <c r="M22" s="212">
        <f>I22/E22*100</f>
        <v>74.12587412587412</v>
      </c>
      <c r="N22" s="213">
        <f>(I22-H22)/G22*100</f>
        <v>86.595394736842096</v>
      </c>
      <c r="O22" s="96"/>
      <c r="P22" s="97"/>
      <c r="Q22" s="55"/>
      <c r="R22" s="55"/>
      <c r="S22" s="55"/>
      <c r="T22" s="56"/>
      <c r="U22" s="98"/>
      <c r="V22" s="99"/>
      <c r="W22" s="87"/>
    </row>
    <row r="23" spans="1:23" ht="12.75" customHeight="1" x14ac:dyDescent="0.25">
      <c r="A23" s="38"/>
      <c r="B23" s="101">
        <v>3</v>
      </c>
      <c r="C23" s="226" t="s">
        <v>55</v>
      </c>
      <c r="D23" s="217">
        <v>583</v>
      </c>
      <c r="E23" s="199">
        <v>30.6</v>
      </c>
      <c r="F23" s="200">
        <v>2.09</v>
      </c>
      <c r="G23" s="200">
        <v>27.47</v>
      </c>
      <c r="H23" s="200">
        <v>0.11</v>
      </c>
      <c r="I23" s="209">
        <v>23.49</v>
      </c>
      <c r="J23" s="210">
        <f t="shared" si="0"/>
        <v>6.8300653594771239</v>
      </c>
      <c r="K23" s="211">
        <f t="shared" si="1"/>
        <v>89.77124183006535</v>
      </c>
      <c r="L23" s="211">
        <f t="shared" si="2"/>
        <v>0.35947712418300654</v>
      </c>
      <c r="M23" s="212">
        <f t="shared" ref="M23" si="3">I23/E23*100</f>
        <v>76.764705882352928</v>
      </c>
      <c r="N23" s="213">
        <f t="shared" ref="N23" si="4">(I23-H23)/G23*100</f>
        <v>85.11103021477976</v>
      </c>
      <c r="O23" s="96"/>
      <c r="P23" s="97"/>
      <c r="Q23" s="55"/>
      <c r="R23" s="55"/>
      <c r="S23" s="55"/>
      <c r="T23" s="56"/>
      <c r="U23" s="98"/>
      <c r="V23" s="99"/>
      <c r="W23" s="87"/>
    </row>
    <row r="24" spans="1:23" ht="12.75" customHeight="1" x14ac:dyDescent="0.25">
      <c r="A24" s="196"/>
      <c r="B24" s="101">
        <v>4</v>
      </c>
      <c r="C24" s="226" t="s">
        <v>55</v>
      </c>
      <c r="D24" s="217">
        <v>584</v>
      </c>
      <c r="E24" s="199">
        <v>29.5</v>
      </c>
      <c r="F24" s="200">
        <v>2.93</v>
      </c>
      <c r="G24" s="200">
        <v>25.2</v>
      </c>
      <c r="H24" s="200">
        <v>0.21</v>
      </c>
      <c r="I24" s="209">
        <v>21.61</v>
      </c>
      <c r="J24" s="210">
        <f t="shared" ref="J24" si="5">F24/E24*100</f>
        <v>9.9322033898305087</v>
      </c>
      <c r="K24" s="211">
        <f t="shared" ref="K24" si="6">G24/E24*100</f>
        <v>85.423728813559322</v>
      </c>
      <c r="L24" s="211">
        <f t="shared" ref="L24" si="7">H24/E24*100</f>
        <v>0.71186440677966101</v>
      </c>
      <c r="M24" s="212">
        <f t="shared" ref="M24" si="8">I24/E24*100</f>
        <v>73.254237288135599</v>
      </c>
      <c r="N24" s="213">
        <f t="shared" ref="N24" si="9">(I24-H24)/G24*100</f>
        <v>84.920634920634924</v>
      </c>
      <c r="O24" s="96"/>
      <c r="P24" s="97"/>
      <c r="Q24" s="55"/>
      <c r="R24" s="55"/>
      <c r="S24" s="55"/>
      <c r="T24" s="56"/>
      <c r="U24" s="98"/>
      <c r="V24" s="99"/>
      <c r="W24" s="87"/>
    </row>
    <row r="25" spans="1:23" ht="12.75" customHeight="1" x14ac:dyDescent="0.25">
      <c r="A25" s="100"/>
      <c r="B25" s="101">
        <v>5</v>
      </c>
      <c r="C25" s="226" t="s">
        <v>55</v>
      </c>
      <c r="D25" s="231">
        <v>585</v>
      </c>
      <c r="E25" s="199">
        <v>29.4</v>
      </c>
      <c r="F25" s="200">
        <v>2.77</v>
      </c>
      <c r="G25" s="200">
        <v>25.05</v>
      </c>
      <c r="H25" s="200">
        <v>0.2</v>
      </c>
      <c r="I25" s="209">
        <v>21.62</v>
      </c>
      <c r="J25" s="210">
        <f t="shared" ref="J25:J28" si="10">F25/E25*100</f>
        <v>9.421768707482995</v>
      </c>
      <c r="K25" s="211">
        <f t="shared" ref="K25:K28" si="11">G25/E25*100</f>
        <v>85.204081632653072</v>
      </c>
      <c r="L25" s="211">
        <f t="shared" ref="L25:L28" si="12">H25/E25*100</f>
        <v>0.6802721088435375</v>
      </c>
      <c r="M25" s="212">
        <f t="shared" ref="M25:M28" si="13">I25/E25*100</f>
        <v>73.5374149659864</v>
      </c>
      <c r="N25" s="213">
        <f t="shared" ref="N25:N28" si="14">(I25-H25)/G25*100</f>
        <v>85.508982035928156</v>
      </c>
      <c r="O25" s="96"/>
      <c r="P25" s="97"/>
      <c r="Q25" s="55"/>
      <c r="R25" s="55"/>
      <c r="S25" s="55"/>
      <c r="T25" s="56"/>
      <c r="U25" s="98"/>
      <c r="V25" s="99"/>
      <c r="W25" s="87"/>
    </row>
    <row r="26" spans="1:23" ht="12.75" customHeight="1" x14ac:dyDescent="0.25">
      <c r="A26" s="100"/>
      <c r="B26" s="101">
        <v>6</v>
      </c>
      <c r="C26" s="226" t="s">
        <v>55</v>
      </c>
      <c r="D26" s="232">
        <v>586</v>
      </c>
      <c r="E26" s="199">
        <v>32.1</v>
      </c>
      <c r="F26" s="200">
        <v>3.21</v>
      </c>
      <c r="G26" s="200">
        <v>27.48</v>
      </c>
      <c r="H26" s="200">
        <v>0.24</v>
      </c>
      <c r="I26" s="209">
        <v>23.76</v>
      </c>
      <c r="J26" s="210">
        <f t="shared" si="10"/>
        <v>10</v>
      </c>
      <c r="K26" s="211">
        <f t="shared" si="11"/>
        <v>85.607476635514018</v>
      </c>
      <c r="L26" s="211">
        <f t="shared" si="12"/>
        <v>0.74766355140186913</v>
      </c>
      <c r="M26" s="212">
        <f t="shared" si="13"/>
        <v>74.018691588785046</v>
      </c>
      <c r="N26" s="213">
        <f t="shared" si="14"/>
        <v>85.589519650655035</v>
      </c>
      <c r="O26" s="96"/>
      <c r="P26" s="97"/>
      <c r="Q26" s="55"/>
      <c r="R26" s="55"/>
      <c r="S26" s="55"/>
      <c r="T26" s="56"/>
      <c r="U26" s="98"/>
      <c r="V26" s="99"/>
      <c r="W26" s="87"/>
    </row>
    <row r="27" spans="1:23" ht="12.75" customHeight="1" x14ac:dyDescent="0.25">
      <c r="A27" s="100"/>
      <c r="B27" s="101">
        <v>7</v>
      </c>
      <c r="C27" s="226" t="s">
        <v>55</v>
      </c>
      <c r="D27" s="232">
        <v>587</v>
      </c>
      <c r="E27" s="199">
        <v>28.8</v>
      </c>
      <c r="F27" s="200">
        <v>3.12</v>
      </c>
      <c r="G27" s="200">
        <v>24.52</v>
      </c>
      <c r="H27" s="200">
        <v>0.15</v>
      </c>
      <c r="I27" s="209">
        <v>20.67</v>
      </c>
      <c r="J27" s="210">
        <f t="shared" si="10"/>
        <v>10.833333333333334</v>
      </c>
      <c r="K27" s="211">
        <f t="shared" si="11"/>
        <v>85.138888888888886</v>
      </c>
      <c r="L27" s="211">
        <f t="shared" si="12"/>
        <v>0.52083333333333326</v>
      </c>
      <c r="M27" s="212">
        <f t="shared" si="13"/>
        <v>71.770833333333343</v>
      </c>
      <c r="N27" s="213">
        <f t="shared" si="14"/>
        <v>83.686786296900507</v>
      </c>
      <c r="O27" s="96"/>
      <c r="P27" s="97"/>
      <c r="Q27" s="55"/>
      <c r="R27" s="55"/>
      <c r="S27" s="55"/>
      <c r="T27" s="56"/>
      <c r="U27" s="98"/>
      <c r="V27" s="99"/>
      <c r="W27" s="87"/>
    </row>
    <row r="28" spans="1:23" ht="12.75" customHeight="1" x14ac:dyDescent="0.25">
      <c r="A28" s="100"/>
      <c r="B28" s="101">
        <v>8</v>
      </c>
      <c r="C28" s="226" t="s">
        <v>55</v>
      </c>
      <c r="D28" s="232">
        <v>588</v>
      </c>
      <c r="E28" s="199">
        <v>30.1</v>
      </c>
      <c r="F28" s="200">
        <v>3.99</v>
      </c>
      <c r="G28" s="200">
        <v>24.95</v>
      </c>
      <c r="H28" s="200">
        <v>0.19</v>
      </c>
      <c r="I28" s="209">
        <v>21.39</v>
      </c>
      <c r="J28" s="210">
        <f t="shared" si="10"/>
        <v>13.255813953488371</v>
      </c>
      <c r="K28" s="211">
        <f t="shared" si="11"/>
        <v>82.89036544850498</v>
      </c>
      <c r="L28" s="211">
        <f t="shared" si="12"/>
        <v>0.63122923588039859</v>
      </c>
      <c r="M28" s="212">
        <f t="shared" si="13"/>
        <v>71.06312292358804</v>
      </c>
      <c r="N28" s="213">
        <f t="shared" si="14"/>
        <v>84.969939879759522</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30.0625</v>
      </c>
      <c r="F36" s="112">
        <f t="shared" ref="F36:I36" si="15">AVERAGE(F21:F35)</f>
        <v>2.92875</v>
      </c>
      <c r="G36" s="112">
        <f t="shared" si="15"/>
        <v>25.842499999999998</v>
      </c>
      <c r="H36" s="112">
        <f t="shared" si="15"/>
        <v>0.17124999999999999</v>
      </c>
      <c r="I36" s="113">
        <f t="shared" si="15"/>
        <v>22.201250000000002</v>
      </c>
      <c r="J36" s="111">
        <f>AVERAGE(J21:J35)</f>
        <v>9.7700729960738961</v>
      </c>
      <c r="K36" s="112">
        <f t="shared" ref="K36:N36" si="16">AVERAGE(K21:K35)</f>
        <v>85.930818057811834</v>
      </c>
      <c r="L36" s="112">
        <f t="shared" si="16"/>
        <v>0.56935787359822476</v>
      </c>
      <c r="M36" s="112">
        <f t="shared" si="16"/>
        <v>73.819248548538781</v>
      </c>
      <c r="N36" s="113">
        <f t="shared" si="16"/>
        <v>85.2414796606312</v>
      </c>
      <c r="O36" s="114"/>
      <c r="P36" s="106"/>
      <c r="Q36" s="57"/>
      <c r="R36" s="58"/>
      <c r="S36" s="99"/>
      <c r="T36" s="106"/>
      <c r="U36" s="75"/>
      <c r="V36" s="75"/>
      <c r="W36" s="87"/>
    </row>
    <row r="37" spans="1:23" ht="12.75" customHeight="1" thickBot="1" x14ac:dyDescent="0.3">
      <c r="A37" s="115"/>
      <c r="B37" s="116"/>
      <c r="C37" s="117"/>
      <c r="D37" s="164" t="s">
        <v>42</v>
      </c>
      <c r="E37" s="118">
        <f>STDEV(E21:E35)/SQRT(COUNT(E21:E35))</f>
        <v>0.43749999999999994</v>
      </c>
      <c r="F37" s="119">
        <f t="shared" ref="F37:I37" si="17">STDEV(F21:F35)/SQRT(COUNT(F21:F35))</f>
        <v>0.20653983963667405</v>
      </c>
      <c r="G37" s="119">
        <f t="shared" si="17"/>
        <v>0.51535615285520187</v>
      </c>
      <c r="H37" s="119">
        <f t="shared" si="17"/>
        <v>1.5972912338438134E-2</v>
      </c>
      <c r="I37" s="120">
        <f t="shared" si="17"/>
        <v>0.45450301547011601</v>
      </c>
      <c r="J37" s="118">
        <f>STDEV(J21:J35)/SQRT(COUNT(J21:J35))</f>
        <v>0.71888396211294625</v>
      </c>
      <c r="K37" s="119">
        <f t="shared" ref="K37:N37" si="18">STDEV(K21:K35)/SQRT(COUNT(K21:K35))</f>
        <v>0.75935433435265343</v>
      </c>
      <c r="L37" s="119">
        <f t="shared" si="18"/>
        <v>5.0910168680557345E-2</v>
      </c>
      <c r="M37" s="119">
        <f t="shared" si="18"/>
        <v>0.67928270680176206</v>
      </c>
      <c r="N37" s="120">
        <f t="shared" si="18"/>
        <v>0.29067182521165347</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2025-08-15T18:03:44Z</dcterms:modified>
</cp:coreProperties>
</file>