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
    </mc:Choice>
  </mc:AlternateContent>
  <xr:revisionPtr revIDLastSave="65" documentId="8_{C9804E4B-8DF7-4177-93A7-0A525A19F598}" xr6:coauthVersionLast="47" xr6:coauthVersionMax="47" xr10:uidLastSave="{87C7DCB9-61AA-418F-B56D-4479B02EB85E}"/>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<sst xmlns="http://schemas.openxmlformats.org/spreadsheetml/2006/main" count="81" uniqueCount="59">
  <si>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</si>
  <si>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</si>
  <si>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</si>
  <si>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</si>
  <si>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</si>
  <si>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</si>
  <si>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</si>
  <si>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</si>
  <si>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</si>
  <si>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</si>
  <si>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</si>
  <si>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</si>
  <si>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</si>
  <si>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</si>
  <si>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</si>
  <si>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</si>
  <si>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</si>
  <si>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</si>
  <si>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</si>
  <si>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</si>
  <si>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</si>
  <si>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</si>
  <si>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</si>
  <si>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</si>
  <si>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</si>
  <si>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</si>
  <si>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</si>
  <si>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</si>
  <si>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</si>
  <si>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</si>
  <si>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</si>
  <si>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</si>
  <si>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</si>
  <si>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</si>
  <si>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</si>
  <si>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</si>
  <si>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</si>
  <si>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</si>
  <si>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</si>
  <si>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</si>
  <si>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</si>
  <si>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</si>
  <si>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</si>
  <si>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</si>
  <si>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</si>
  <si>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</si>
  <si>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</si>
  <si>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</si>
  <si>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</si>
  <si>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</si>
  <si>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 xml:space="preserve">1) </t>
  </si>
  <si>
    <t>2)</t>
  </si>
  <si>
    <t xml:space="preserve">C57BL/6J; Male </t>
  </si>
  <si>
    <t>Research Diets D12492 (60% HFD)</t>
  </si>
  <si>
    <t>(20/20/60)</t>
  </si>
  <si>
    <t>10:00:00AM</t>
  </si>
  <si>
    <t>M 20-21wks</t>
  </si>
  <si>
    <t>0.0028</t>
  </si>
  <si>
    <t>0.0371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</si>
</sst>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167" fontId="14" fillId="0" borderId="4" xfId="2" applyNumberFormat="1" applyFont="1" applyBorder="1" applyAlignment="1" applyProtection="1">
      <alignment horizontal="center"/>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2.005077260713064</c:v>
                  </c:pt>
                  <c:pt idx="1">
                    <c:v>2.0800822013290006</c:v>
                  </c:pt>
                  <c:pt idx="2">
                    <c:v>0.37492261106222202</c:v>
                  </c:pt>
                  <c:pt idx="3">
                    <c:v>3.304488289757259E-2</c:v>
                  </c:pt>
                  <c:pt idx="4">
                    <c:v>0.49947740546638175</c:v>
                  </c:pt>
                </c:numCache>
              </c:numRef>
            </c:plus>
            <c:minus>
              <c:numRef>
                <c:f>'EchoMRI data'!$E$37:$I$37</c:f>
                <c:numCache>
                  <c:formatCode>General</c:formatCode>
                  <c:ptCount val="5"/>
                  <c:pt idx="0">
                    <c:v>2.005077260713064</c:v>
                  </c:pt>
                  <c:pt idx="1">
                    <c:v>2.0800822013290006</c:v>
                  </c:pt>
                  <c:pt idx="2">
                    <c:v>0.37492261106222202</c:v>
                  </c:pt>
                  <c:pt idx="3">
                    <c:v>3.304488289757259E-2</c:v>
                  </c:pt>
                  <c:pt idx="4">
                    <c:v>0.49947740546638175</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44.837499999999999</c:v>
                </c:pt>
                <c:pt idx="1">
                  <c:v>13.567500000000003</c:v>
                </c:pt>
                <c:pt idx="2">
                  <c:v>29.912500000000001</c:v>
                </c:pt>
                <c:pt idx="3">
                  <c:v>0.11750000000000001</c:v>
                </c:pt>
                <c:pt idx="4">
                  <c:v>24.972499999999997</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3.7586255470942858</c:v>
                  </c:pt>
                  <c:pt idx="1">
                    <c:v>3.6496650438729588</c:v>
                  </c:pt>
                  <c:pt idx="2">
                    <c:v>7.5274922570456385E-2</c:v>
                  </c:pt>
                  <c:pt idx="3">
                    <c:v>3.3064589769934978</c:v>
                  </c:pt>
                </c:numCache>
              </c:numRef>
            </c:plus>
            <c:minus>
              <c:numRef>
                <c:f>'EchoMRI data'!$J$37:$M$37</c:f>
                <c:numCache>
                  <c:formatCode>General</c:formatCode>
                  <c:ptCount val="4"/>
                  <c:pt idx="0">
                    <c:v>3.7586255470942858</c:v>
                  </c:pt>
                  <c:pt idx="1">
                    <c:v>3.6496650438729588</c:v>
                  </c:pt>
                  <c:pt idx="2">
                    <c:v>7.5274922570456385E-2</c:v>
                  </c:pt>
                  <c:pt idx="3">
                    <c:v>3.3064589769934978</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29.126373368351043</c:v>
                </c:pt>
                <c:pt idx="1">
                  <c:v>67.812955615739043</c:v>
                </c:pt>
                <c:pt idx="2">
                  <c:v>0.26512512825679252</c:v>
                </c:pt>
                <c:pt idx="3">
                  <c:v>56.670524269190572</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H31" sqref="H31"/>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52</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50</v>
      </c>
      <c r="F8" s="19"/>
      <c r="G8" s="52"/>
      <c r="H8" s="218">
        <v>45835</v>
      </c>
      <c r="I8" s="219">
        <v>4500.3289999999997</v>
      </c>
      <c r="J8" s="220" t="s">
        <v>57</v>
      </c>
      <c r="K8" s="221" t="s">
        <v>58</v>
      </c>
      <c r="L8" s="222">
        <v>22</v>
      </c>
      <c r="M8" s="223">
        <v>0.56999999999999995</v>
      </c>
      <c r="N8" s="224" t="s">
        <v>55</v>
      </c>
      <c r="O8" s="19"/>
      <c r="P8" s="18"/>
      <c r="Q8" s="18"/>
      <c r="R8" s="19"/>
      <c r="S8" s="19"/>
      <c r="T8" s="19"/>
      <c r="U8" s="19"/>
      <c r="V8" s="19"/>
      <c r="W8" s="20"/>
    </row>
    <row r="9" spans="1:23" ht="12.75" customHeight="1" x14ac:dyDescent="0.2">
      <c r="A9" s="25"/>
      <c r="B9" s="19"/>
      <c r="C9" s="19"/>
      <c r="D9" s="19"/>
      <c r="E9" s="18" t="s">
        <v>51</v>
      </c>
      <c r="F9" s="19"/>
      <c r="G9" s="53"/>
      <c r="H9" s="227">
        <v>45841</v>
      </c>
      <c r="I9" s="228">
        <v>4500.2520000000004</v>
      </c>
      <c r="J9" s="233">
        <v>2.0000000000000001E-4</v>
      </c>
      <c r="K9" s="229">
        <v>3.2899999999999999E-2</v>
      </c>
      <c r="L9" s="228">
        <v>22.3</v>
      </c>
      <c r="M9" s="230">
        <v>0.26</v>
      </c>
      <c r="N9" s="229" t="s">
        <v>55</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53</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54</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56</v>
      </c>
      <c r="D21" s="216">
        <v>444</v>
      </c>
      <c r="E21" s="206">
        <v>45.3</v>
      </c>
      <c r="F21" s="207">
        <v>12.7</v>
      </c>
      <c r="G21" s="207">
        <v>30.42</v>
      </c>
      <c r="H21" s="207">
        <v>0.3</v>
      </c>
      <c r="I21" s="208">
        <v>26.52</v>
      </c>
      <c r="J21" s="202">
        <f t="shared" ref="J21:J23" si="0">F21/E21*100</f>
        <v>28.035320088300221</v>
      </c>
      <c r="K21" s="203">
        <f t="shared" ref="K21:K23" si="1">G21/E21*100</f>
        <v>67.152317880794712</v>
      </c>
      <c r="L21" s="203">
        <f t="shared" ref="L21:L23" si="2">H21/E21*100</f>
        <v>0.66225165562913912</v>
      </c>
      <c r="M21" s="204">
        <f>I21/E21*100</f>
        <v>58.5430463576159</v>
      </c>
      <c r="N21" s="205">
        <f>(I21-H21)/G21*100</f>
        <v>86.193293885601577</v>
      </c>
      <c r="O21" s="96"/>
      <c r="P21" s="97"/>
      <c r="Q21" s="55"/>
      <c r="R21" s="55"/>
      <c r="S21" s="55"/>
      <c r="T21" s="56"/>
      <c r="U21" s="98"/>
      <c r="V21" s="99"/>
      <c r="W21" s="87"/>
    </row>
    <row r="22" spans="1:23" ht="12.75" customHeight="1" x14ac:dyDescent="0.25">
      <c r="A22" s="171"/>
      <c r="B22" s="101">
        <v>2</v>
      </c>
      <c r="C22" s="226" t="s">
        <v>56</v>
      </c>
      <c r="D22" s="217">
        <v>445</v>
      </c>
      <c r="E22" s="199">
        <v>35.200000000000003</v>
      </c>
      <c r="F22" s="200">
        <v>3.57</v>
      </c>
      <c r="G22" s="200">
        <v>30.6</v>
      </c>
      <c r="H22" s="200">
        <v>0.04</v>
      </c>
      <c r="I22" s="209">
        <v>25.35</v>
      </c>
      <c r="J22" s="210">
        <f t="shared" si="0"/>
        <v>10.142045454545453</v>
      </c>
      <c r="K22" s="211">
        <f t="shared" si="1"/>
        <v>86.931818181818173</v>
      </c>
      <c r="L22" s="211">
        <f t="shared" si="2"/>
        <v>0.11363636363636363</v>
      </c>
      <c r="M22" s="212">
        <f>I22/E22*100</f>
        <v>72.017045454545453</v>
      </c>
      <c r="N22" s="213">
        <f>(I22-H22)/G22*100</f>
        <v>82.712418300653596</v>
      </c>
      <c r="O22" s="96"/>
      <c r="P22" s="97"/>
      <c r="Q22" s="55"/>
      <c r="R22" s="55"/>
      <c r="S22" s="55"/>
      <c r="T22" s="56"/>
      <c r="U22" s="98"/>
      <c r="V22" s="99"/>
      <c r="W22" s="87"/>
    </row>
    <row r="23" spans="1:23" ht="12.75" customHeight="1" x14ac:dyDescent="0.25">
      <c r="A23" s="38"/>
      <c r="B23" s="101">
        <v>3</v>
      </c>
      <c r="C23" s="226" t="s">
        <v>56</v>
      </c>
      <c r="D23" s="217">
        <v>446</v>
      </c>
      <c r="E23" s="199">
        <v>37.299999999999997</v>
      </c>
      <c r="F23" s="200">
        <v>5.93</v>
      </c>
      <c r="G23" s="200">
        <v>30</v>
      </c>
      <c r="H23" s="200">
        <v>0.17</v>
      </c>
      <c r="I23" s="209">
        <v>25.82</v>
      </c>
      <c r="J23" s="210">
        <f t="shared" si="0"/>
        <v>15.898123324396785</v>
      </c>
      <c r="K23" s="211">
        <f t="shared" si="1"/>
        <v>80.428954423592501</v>
      </c>
      <c r="L23" s="211">
        <f t="shared" si="2"/>
        <v>0.45576407506702421</v>
      </c>
      <c r="M23" s="212">
        <f t="shared" ref="M23" si="3">I23/E23*100</f>
        <v>69.222520107238623</v>
      </c>
      <c r="N23" s="213">
        <f t="shared" ref="N23" si="4">(I23-H23)/G23*100</f>
        <v>85.5</v>
      </c>
      <c r="O23" s="96"/>
      <c r="P23" s="97"/>
      <c r="Q23" s="55"/>
      <c r="R23" s="55"/>
      <c r="S23" s="55"/>
      <c r="T23" s="56"/>
      <c r="U23" s="98"/>
      <c r="V23" s="99"/>
      <c r="W23" s="87"/>
    </row>
    <row r="24" spans="1:23" ht="12.75" customHeight="1" x14ac:dyDescent="0.25">
      <c r="A24" s="196"/>
      <c r="B24" s="101">
        <v>4</v>
      </c>
      <c r="C24" s="226" t="s">
        <v>56</v>
      </c>
      <c r="D24" s="217">
        <v>447</v>
      </c>
      <c r="E24" s="199">
        <v>46.8</v>
      </c>
      <c r="F24" s="200">
        <v>18.11</v>
      </c>
      <c r="G24" s="200">
        <v>27.53</v>
      </c>
      <c r="H24" s="200">
        <v>0.06</v>
      </c>
      <c r="I24" s="209">
        <v>21.94</v>
      </c>
      <c r="J24" s="210">
        <f t="shared" ref="J24" si="5">F24/E24*100</f>
        <v>38.696581196581199</v>
      </c>
      <c r="K24" s="211">
        <f t="shared" ref="K24" si="6">G24/E24*100</f>
        <v>58.824786324786324</v>
      </c>
      <c r="L24" s="211">
        <f t="shared" ref="L24" si="7">H24/E24*100</f>
        <v>0.12820512820512819</v>
      </c>
      <c r="M24" s="212">
        <f t="shared" ref="M24" si="8">I24/E24*100</f>
        <v>46.880341880341888</v>
      </c>
      <c r="N24" s="213">
        <f t="shared" ref="N24" si="9">(I24-H24)/G24*100</f>
        <v>79.4769342535416</v>
      </c>
      <c r="O24" s="96"/>
      <c r="P24" s="97"/>
      <c r="Q24" s="55"/>
      <c r="R24" s="55"/>
      <c r="S24" s="55"/>
      <c r="T24" s="56"/>
      <c r="U24" s="98"/>
      <c r="V24" s="99"/>
      <c r="W24" s="87"/>
    </row>
    <row r="25" spans="1:23" ht="12.75" customHeight="1" x14ac:dyDescent="0.25">
      <c r="A25" s="100"/>
      <c r="B25" s="101">
        <v>5</v>
      </c>
      <c r="C25" s="226" t="s">
        <v>56</v>
      </c>
      <c r="D25" s="231">
        <v>448</v>
      </c>
      <c r="E25" s="199">
        <v>48.1</v>
      </c>
      <c r="F25" s="200">
        <v>17.2</v>
      </c>
      <c r="G25" s="200">
        <v>29.45</v>
      </c>
      <c r="H25" s="200">
        <v>0.13</v>
      </c>
      <c r="I25" s="209">
        <v>24.54</v>
      </c>
      <c r="J25" s="210">
        <f t="shared" ref="J25:J28" si="10">F25/E25*100</f>
        <v>35.758835758835758</v>
      </c>
      <c r="K25" s="211">
        <f t="shared" ref="K25:K28" si="11">G25/E25*100</f>
        <v>61.226611226611226</v>
      </c>
      <c r="L25" s="211">
        <f t="shared" ref="L25:L28" si="12">H25/E25*100</f>
        <v>0.27027027027027029</v>
      </c>
      <c r="M25" s="212">
        <f t="shared" ref="M25:M28" si="13">I25/E25*100</f>
        <v>51.018711018711016</v>
      </c>
      <c r="N25" s="213">
        <f t="shared" ref="N25:N28" si="14">(I25-H25)/G25*100</f>
        <v>82.886247877758905</v>
      </c>
      <c r="O25" s="96"/>
      <c r="P25" s="97"/>
      <c r="Q25" s="55"/>
      <c r="R25" s="55"/>
      <c r="S25" s="55"/>
      <c r="T25" s="56"/>
      <c r="U25" s="98"/>
      <c r="V25" s="99"/>
      <c r="W25" s="87"/>
    </row>
    <row r="26" spans="1:23" ht="12.75" customHeight="1" x14ac:dyDescent="0.25">
      <c r="A26" s="100"/>
      <c r="B26" s="101">
        <v>6</v>
      </c>
      <c r="C26" s="226" t="s">
        <v>56</v>
      </c>
      <c r="D26" s="232">
        <v>449</v>
      </c>
      <c r="E26" s="199">
        <v>47.2</v>
      </c>
      <c r="F26" s="200">
        <v>15.26</v>
      </c>
      <c r="G26" s="200">
        <v>30.5</v>
      </c>
      <c r="H26" s="200">
        <v>0.15</v>
      </c>
      <c r="I26" s="209">
        <v>25.91</v>
      </c>
      <c r="J26" s="210">
        <f t="shared" si="10"/>
        <v>32.33050847457627</v>
      </c>
      <c r="K26" s="211">
        <f t="shared" si="11"/>
        <v>64.618644067796609</v>
      </c>
      <c r="L26" s="211">
        <f t="shared" si="12"/>
        <v>0.31779661016949151</v>
      </c>
      <c r="M26" s="212">
        <f t="shared" si="13"/>
        <v>54.894067796610166</v>
      </c>
      <c r="N26" s="213">
        <f t="shared" si="14"/>
        <v>84.459016393442639</v>
      </c>
      <c r="O26" s="96"/>
      <c r="P26" s="97"/>
      <c r="Q26" s="55"/>
      <c r="R26" s="55"/>
      <c r="S26" s="55"/>
      <c r="T26" s="56"/>
      <c r="U26" s="98"/>
      <c r="V26" s="99"/>
      <c r="W26" s="87"/>
    </row>
    <row r="27" spans="1:23" ht="12.75" customHeight="1" x14ac:dyDescent="0.25">
      <c r="A27" s="100"/>
      <c r="B27" s="101">
        <v>7</v>
      </c>
      <c r="C27" s="226" t="s">
        <v>56</v>
      </c>
      <c r="D27" s="232">
        <v>451</v>
      </c>
      <c r="E27" s="199">
        <v>46.8</v>
      </c>
      <c r="F27" s="200">
        <v>15.73</v>
      </c>
      <c r="G27" s="200">
        <v>29.94</v>
      </c>
      <c r="H27" s="200">
        <v>0</v>
      </c>
      <c r="I27" s="209">
        <v>24.39</v>
      </c>
      <c r="J27" s="210">
        <f t="shared" si="10"/>
        <v>33.611111111111114</v>
      </c>
      <c r="K27" s="211">
        <f t="shared" si="11"/>
        <v>63.974358974358978</v>
      </c>
      <c r="L27" s="211">
        <f t="shared" si="12"/>
        <v>0</v>
      </c>
      <c r="M27" s="212">
        <f t="shared" si="13"/>
        <v>52.11538461538462</v>
      </c>
      <c r="N27" s="213">
        <f t="shared" si="14"/>
        <v>81.462925851703403</v>
      </c>
      <c r="O27" s="96"/>
      <c r="P27" s="97"/>
      <c r="Q27" s="55"/>
      <c r="R27" s="55"/>
      <c r="S27" s="55"/>
      <c r="T27" s="56"/>
      <c r="U27" s="98"/>
      <c r="V27" s="99"/>
      <c r="W27" s="87"/>
    </row>
    <row r="28" spans="1:23" ht="12.75" customHeight="1" x14ac:dyDescent="0.25">
      <c r="A28" s="100"/>
      <c r="B28" s="101">
        <v>8</v>
      </c>
      <c r="C28" s="226" t="s">
        <v>56</v>
      </c>
      <c r="D28" s="232">
        <v>452</v>
      </c>
      <c r="E28" s="199">
        <v>52</v>
      </c>
      <c r="F28" s="200">
        <v>20.04</v>
      </c>
      <c r="G28" s="200">
        <v>30.86</v>
      </c>
      <c r="H28" s="200">
        <v>0.09</v>
      </c>
      <c r="I28" s="209">
        <v>25.31</v>
      </c>
      <c r="J28" s="210">
        <f t="shared" si="10"/>
        <v>38.53846153846154</v>
      </c>
      <c r="K28" s="211">
        <f t="shared" si="11"/>
        <v>59.346153846153847</v>
      </c>
      <c r="L28" s="211">
        <f t="shared" si="12"/>
        <v>0.17307692307692307</v>
      </c>
      <c r="M28" s="212">
        <f t="shared" si="13"/>
        <v>48.67307692307692</v>
      </c>
      <c r="N28" s="213">
        <f t="shared" si="14"/>
        <v>81.72391445236552</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44.837499999999999</v>
      </c>
      <c r="F36" s="112">
        <f t="shared" ref="F36:I36" si="15">AVERAGE(F21:F35)</f>
        <v>13.567500000000003</v>
      </c>
      <c r="G36" s="112">
        <f t="shared" si="15"/>
        <v>29.912500000000001</v>
      </c>
      <c r="H36" s="112">
        <f t="shared" si="15"/>
        <v>0.11750000000000001</v>
      </c>
      <c r="I36" s="113">
        <f t="shared" si="15"/>
        <v>24.972499999999997</v>
      </c>
      <c r="J36" s="111">
        <f>AVERAGE(J21:J35)</f>
        <v>29.126373368351043</v>
      </c>
      <c r="K36" s="112">
        <f t="shared" ref="K36:N36" si="16">AVERAGE(K21:K35)</f>
        <v>67.812955615739043</v>
      </c>
      <c r="L36" s="112">
        <f t="shared" si="16"/>
        <v>0.26512512825679252</v>
      </c>
      <c r="M36" s="112">
        <f t="shared" si="16"/>
        <v>56.670524269190572</v>
      </c>
      <c r="N36" s="113">
        <f t="shared" si="16"/>
        <v>83.05184387688341</v>
      </c>
      <c r="O36" s="114"/>
      <c r="P36" s="106"/>
      <c r="Q36" s="57"/>
      <c r="R36" s="58"/>
      <c r="S36" s="99"/>
      <c r="T36" s="106"/>
      <c r="U36" s="75"/>
      <c r="V36" s="75"/>
      <c r="W36" s="87"/>
    </row>
    <row r="37" spans="1:23" ht="12.75" customHeight="1" thickBot="1" x14ac:dyDescent="0.3">
      <c r="A37" s="115"/>
      <c r="B37" s="116"/>
      <c r="C37" s="117"/>
      <c r="D37" s="164" t="s">
        <v>42</v>
      </c>
      <c r="E37" s="118">
        <f>STDEV(E21:E35)/SQRT(COUNT(E21:E35))</f>
        <v>2.005077260713064</v>
      </c>
      <c r="F37" s="119">
        <f t="shared" ref="F37:I37" si="17">STDEV(F21:F35)/SQRT(COUNT(F21:F35))</f>
        <v>2.0800822013290006</v>
      </c>
      <c r="G37" s="119">
        <f t="shared" si="17"/>
        <v>0.37492261106222202</v>
      </c>
      <c r="H37" s="119">
        <f t="shared" si="17"/>
        <v>3.304488289757259E-2</v>
      </c>
      <c r="I37" s="120">
        <f t="shared" si="17"/>
        <v>0.49947740546638175</v>
      </c>
      <c r="J37" s="118">
        <f>STDEV(J21:J35)/SQRT(COUNT(J21:J35))</f>
        <v>3.7586255470942858</v>
      </c>
      <c r="K37" s="119">
        <f t="shared" ref="K37:N37" si="18">STDEV(K21:K35)/SQRT(COUNT(K21:K35))</f>
        <v>3.6496650438729588</v>
      </c>
      <c r="L37" s="119">
        <f t="shared" si="18"/>
        <v>7.5274922570456385E-2</v>
      </c>
      <c r="M37" s="119">
        <f t="shared" si="18"/>
        <v>3.3064589769934978</v>
      </c>
      <c r="N37" s="120">
        <f t="shared" si="18"/>
        <v>0.7911675218897507</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2025-07-03T17:06:19Z</dcterms:modified>
</cp:coreProperties>
</file>