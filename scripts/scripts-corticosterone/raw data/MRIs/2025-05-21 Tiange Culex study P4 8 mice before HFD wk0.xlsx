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umhealth-my.sharepoint.com/personal/jifeng_med_umich_edu/Documents/Desktop/Tiange Culex study/"/>
    </mc:Choice>
  </mc:AlternateContent>
  <xr:revisionPtr revIDLastSave="70" documentId="13_ncr:1_{627C23A5-FAF1-43FA-91E3-EC893D7EE15D}" xr6:coauthVersionLast="47" xr6:coauthVersionMax="47" xr10:uidLastSave="{2F88500D-03B8-45F7-9AA1-68A0D4CC91C7}"/>
  <bookViews>
    <workbookView xWindow="-120" yWindow="-120" windowWidth="29040" windowHeight="15720" xr2:uid="{00000000-000D-0000-FFFF-FFFF00000000}"/>
  </bookViews>
  <sheets>
    <sheet name="EchoMRI data" sheetId="3" r:id="rId1"/>
    <sheet name="Q's &amp; A'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3" l="1"/>
  <c r="K25" i="3"/>
  <c r="L25" i="3"/>
  <c r="M25" i="3"/>
  <c r="N25" i="3"/>
  <c r="J26" i="3"/>
  <c r="K26" i="3"/>
  <c r="L26" i="3"/>
  <c r="M26" i="3"/>
  <c r="N26" i="3"/>
  <c r="J27" i="3"/>
  <c r="K27" i="3"/>
  <c r="L27" i="3"/>
  <c r="M27" i="3"/>
  <c r="N27" i="3"/>
  <c r="J28" i="3"/>
  <c r="K28" i="3"/>
  <c r="L28" i="3"/>
  <c r="M28" i="3"/>
  <c r="N28" i="3"/>
  <c r="J24" i="3"/>
  <c r="K24" i="3"/>
  <c r="L24" i="3"/>
  <c r="M24" i="3"/>
  <c r="N24" i="3"/>
  <c r="I55" i="3"/>
  <c r="F55" i="3"/>
  <c r="E55" i="3"/>
  <c r="H55" i="3" l="1"/>
  <c r="G55" i="3"/>
  <c r="I54" i="3"/>
  <c r="H54" i="3"/>
  <c r="G54" i="3"/>
  <c r="F54" i="3"/>
  <c r="E54" i="3"/>
  <c r="I53" i="3"/>
  <c r="H53" i="3"/>
  <c r="G53" i="3"/>
  <c r="F53" i="3"/>
  <c r="E53" i="3"/>
  <c r="I37" i="3"/>
  <c r="H37" i="3"/>
  <c r="G37" i="3"/>
  <c r="F37" i="3"/>
  <c r="E37" i="3"/>
  <c r="I36" i="3"/>
  <c r="H36" i="3"/>
  <c r="G36" i="3"/>
  <c r="F36" i="3"/>
  <c r="E36" i="3"/>
  <c r="N23" i="3"/>
  <c r="M23" i="3"/>
  <c r="L23" i="3"/>
  <c r="K23" i="3"/>
  <c r="J23" i="3"/>
  <c r="N22" i="3"/>
  <c r="M22" i="3"/>
  <c r="L22" i="3"/>
  <c r="K22" i="3"/>
  <c r="J22" i="3"/>
  <c r="N21" i="3"/>
  <c r="M21" i="3"/>
  <c r="L21" i="3"/>
  <c r="K21" i="3"/>
  <c r="J21" i="3"/>
  <c r="J55" i="3" l="1"/>
  <c r="M37" i="3"/>
  <c r="L36" i="3"/>
  <c r="K55" i="3"/>
  <c r="M53" i="3"/>
  <c r="N53" i="3"/>
  <c r="J53" i="3"/>
  <c r="K53" i="3"/>
  <c r="L53" i="3"/>
  <c r="L54" i="3"/>
  <c r="M54" i="3"/>
  <c r="N54" i="3"/>
  <c r="L55" i="3"/>
  <c r="K36" i="3"/>
  <c r="N55" i="3"/>
  <c r="J36" i="3"/>
  <c r="M55" i="3"/>
  <c r="L37" i="3"/>
  <c r="M36" i="3"/>
  <c r="N36" i="3"/>
  <c r="J54" i="3"/>
  <c r="K54" i="3"/>
  <c r="J37" i="3"/>
  <c r="K37" i="3"/>
  <c r="N37" i="3"/>
</calcChain>
</file>

<file path=xl/sharedStrings.xml><?xml version="1.0" encoding="utf-8"?>
<sst xmlns="http://schemas.openxmlformats.org/spreadsheetml/2006/main" count="81" uniqueCount="61">
  <si>
    <t>Study Condition</t>
  </si>
  <si>
    <t>Abbrevations</t>
  </si>
  <si>
    <t>Contact and Grant Acknowledgement</t>
  </si>
  <si>
    <t xml:space="preserve">  1.   Temperature:</t>
  </si>
  <si>
    <t xml:space="preserve">1.  If you have any questions regarding the study procedures and the calculation </t>
  </si>
  <si>
    <t xml:space="preserve">  2.   Humidity:</t>
  </si>
  <si>
    <t xml:space="preserve">  1.  System test for mice: </t>
  </si>
  <si>
    <t>Completed successfully</t>
  </si>
  <si>
    <t xml:space="preserve">  3.   Sound (backgroud):</t>
  </si>
  <si>
    <t>70dB</t>
  </si>
  <si>
    <t xml:space="preserve">  2.  System calibration tests:</t>
  </si>
  <si>
    <t xml:space="preserve">  4.   Dark/Light cycle:</t>
  </si>
  <si>
    <t>6:00pm-6:00am</t>
  </si>
  <si>
    <t>Reference sample</t>
  </si>
  <si>
    <t>Measuring envionment</t>
  </si>
  <si>
    <t xml:space="preserve">2.  If you have any questions regarding the charges of the services or other administrative </t>
  </si>
  <si>
    <t xml:space="preserve">  5.   Strain/gender</t>
  </si>
  <si>
    <t>Date</t>
  </si>
  <si>
    <t>Fat</t>
  </si>
  <si>
    <t>Lean</t>
  </si>
  <si>
    <t>Temp (°C)</t>
  </si>
  <si>
    <t>Humidity</t>
  </si>
  <si>
    <t>Clock time</t>
  </si>
  <si>
    <t xml:space="preserve">  6.   Groups</t>
  </si>
  <si>
    <t xml:space="preserve">3.  If you include these results in any publications, please mention us as the  "University of </t>
  </si>
  <si>
    <t xml:space="preserve">     Michigan Animal Phenotyping Core" for conducting the study. The study was supported </t>
  </si>
  <si>
    <t xml:space="preserve">  7.   Diet:</t>
  </si>
  <si>
    <t xml:space="preserve">        (%, Protein/Carbohydrate/Fat)</t>
  </si>
  <si>
    <t xml:space="preserve">     Our productivity and effectiveness as a Core is measured in part by the citation of the </t>
  </si>
  <si>
    <t xml:space="preserve">     grants in published work.</t>
  </si>
  <si>
    <t xml:space="preserve">Date and time: </t>
  </si>
  <si>
    <t>BW</t>
  </si>
  <si>
    <r>
      <t>Free H</t>
    </r>
    <r>
      <rPr>
        <b/>
        <vertAlign val="subscript"/>
        <sz val="12"/>
        <rFont val="Arial Narrow"/>
        <family val="2"/>
      </rPr>
      <t>2</t>
    </r>
    <r>
      <rPr>
        <b/>
        <sz val="12"/>
        <rFont val="Arial Narrow"/>
        <family val="2"/>
      </rPr>
      <t>O</t>
    </r>
  </si>
  <si>
    <r>
      <t>Total H</t>
    </r>
    <r>
      <rPr>
        <b/>
        <vertAlign val="subscript"/>
        <sz val="12"/>
        <rFont val="Arial Narrow"/>
        <family val="2"/>
      </rPr>
      <t>2</t>
    </r>
    <r>
      <rPr>
        <b/>
        <sz val="12"/>
        <rFont val="Arial Narrow"/>
        <family val="2"/>
      </rPr>
      <t>O</t>
    </r>
  </si>
  <si>
    <t>Hydration</t>
  </si>
  <si>
    <t>#</t>
  </si>
  <si>
    <t>Sex/Age</t>
  </si>
  <si>
    <t>ID</t>
  </si>
  <si>
    <t>(g)</t>
  </si>
  <si>
    <t>(%)</t>
  </si>
  <si>
    <t>Group 1:</t>
  </si>
  <si>
    <t>Avg</t>
  </si>
  <si>
    <t>se</t>
  </si>
  <si>
    <t>Group 2:</t>
  </si>
  <si>
    <t>(G1 vs G2)</t>
  </si>
  <si>
    <r>
      <t xml:space="preserve">     equations, please contact me at:    </t>
    </r>
    <r>
      <rPr>
        <b/>
        <sz val="10.5"/>
        <color rgb="FFC00000"/>
        <rFont val="Arial"/>
        <family val="2"/>
      </rPr>
      <t>(734) 232-8223 or nathanqi@med.umich.edu</t>
    </r>
  </si>
  <si>
    <r>
      <t xml:space="preserve">     work, please contact Zhe Wu at:    </t>
    </r>
    <r>
      <rPr>
        <b/>
        <sz val="10.5"/>
        <color rgb="FFC00000"/>
        <rFont val="Arial"/>
        <family val="2"/>
      </rPr>
      <t>(734) 764-7043 or zhewu@med.umich.edu</t>
    </r>
    <r>
      <rPr>
        <b/>
        <sz val="10.5"/>
        <rFont val="Arial"/>
        <family val="2"/>
      </rPr>
      <t xml:space="preserve">  </t>
    </r>
  </si>
  <si>
    <t xml:space="preserve">  EchoMRI 4in1-500</t>
  </si>
  <si>
    <r>
      <t xml:space="preserve">     by grants </t>
    </r>
    <r>
      <rPr>
        <b/>
        <sz val="10.5"/>
        <color rgb="FFC00000"/>
        <rFont val="Arial"/>
        <family val="2"/>
      </rPr>
      <t xml:space="preserve">U2CDK135066 </t>
    </r>
    <r>
      <rPr>
        <b/>
        <sz val="10.5"/>
        <rFont val="Arial"/>
        <family val="2"/>
      </rPr>
      <t>(MMPC-</t>
    </r>
    <r>
      <rPr>
        <b/>
        <i/>
        <sz val="10.5"/>
        <rFont val="Arial"/>
        <family val="2"/>
      </rPr>
      <t>Live</t>
    </r>
    <r>
      <rPr>
        <b/>
        <sz val="10.5"/>
        <rFont val="Arial"/>
        <family val="2"/>
      </rPr>
      <t>)</t>
    </r>
    <r>
      <rPr>
        <b/>
        <sz val="10.5"/>
        <color theme="1"/>
        <rFont val="Arial"/>
        <family val="2"/>
      </rPr>
      <t xml:space="preserve">, </t>
    </r>
    <r>
      <rPr>
        <b/>
        <sz val="10.5"/>
        <color rgb="FFC00000"/>
        <rFont val="Arial"/>
        <family val="2"/>
      </rPr>
      <t xml:space="preserve">DK020572 </t>
    </r>
    <r>
      <rPr>
        <b/>
        <sz val="10.5"/>
        <rFont val="Arial"/>
        <family val="2"/>
      </rPr>
      <t>(MDRC)</t>
    </r>
    <r>
      <rPr>
        <b/>
        <sz val="10.5"/>
        <color theme="1"/>
        <rFont val="Arial"/>
        <family val="2"/>
      </rPr>
      <t xml:space="preserve">, and </t>
    </r>
    <r>
      <rPr>
        <b/>
        <sz val="10.5"/>
        <color rgb="FFC00000"/>
        <rFont val="Arial"/>
        <family val="2"/>
      </rPr>
      <t xml:space="preserve">DK089503 </t>
    </r>
    <r>
      <rPr>
        <b/>
        <sz val="10.5"/>
        <rFont val="Arial"/>
        <family val="2"/>
      </rPr>
      <t>(MNORC)</t>
    </r>
    <r>
      <rPr>
        <b/>
        <sz val="10.5"/>
        <color theme="1"/>
        <rFont val="Arial"/>
        <family val="2"/>
      </rPr>
      <t xml:space="preserve">. </t>
    </r>
  </si>
  <si>
    <t>Khz</t>
  </si>
  <si>
    <t>1) Lab Diet 5LOD</t>
  </si>
  <si>
    <t>(24.1/48.1/5.1)</t>
  </si>
  <si>
    <t xml:space="preserve">1) </t>
  </si>
  <si>
    <t>2)</t>
  </si>
  <si>
    <t xml:space="preserve">C57BL/6J; Male </t>
  </si>
  <si>
    <t>M 9-10wks</t>
  </si>
  <si>
    <t>M 10-11wks</t>
  </si>
  <si>
    <t>0.0000</t>
  </si>
  <si>
    <t>0.0424</t>
  </si>
  <si>
    <t>11:00:00AM</t>
  </si>
  <si>
    <t>1:30:00PM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</si>
</sst>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F400]h:mm:ss\ AM/PM"/>
    <numFmt numFmtId="166" formatCode="0.000"/>
    <numFmt numFmtId="167" formatCode="0.0000"/>
  </numFmts>
  <fonts count="40" x14ac:knownFonts="1">
    <font>
      <sz val="11"/>
      <color theme="1"/>
      <name val="Arial"/>
      <family val="2"/>
    </font>
    <font>
      <sz val="11"/>
      <color theme="1"/>
      <name val="Arial"/>
      <family val="2"/>
    </font>
    <font>
      <sz val="11"/>
      <color theme="1"/>
      <name val="Calibri"/>
      <family val="2"/>
      <scheme val="minor"/>
    </font>
    <font>
      <sz val="8"/>
      <color indexed="13"/>
      <name val="Arial"/>
      <family val="2"/>
    </font>
    <font>
      <i/>
      <sz val="10"/>
      <color rgb="FFFFC000"/>
      <name val="Arial"/>
      <family val="2"/>
    </font>
    <font>
      <sz val="16"/>
      <color rgb="FF000099"/>
      <name val="Arial Rounded MT Bold"/>
      <family val="2"/>
    </font>
    <font>
      <b/>
      <sz val="10"/>
      <name val="Arial"/>
      <family val="2"/>
    </font>
    <font>
      <sz val="10"/>
      <name val="Arial"/>
      <family val="2"/>
    </font>
    <font>
      <b/>
      <sz val="10"/>
      <color rgb="FFC00000"/>
      <name val="Arial"/>
      <family val="2"/>
    </font>
    <font>
      <b/>
      <sz val="9"/>
      <color theme="1"/>
      <name val="Calibri"/>
      <family val="2"/>
      <scheme val="minor"/>
    </font>
    <font>
      <sz val="9"/>
      <color theme="1"/>
      <name val="Calibri"/>
      <family val="2"/>
      <scheme val="minor"/>
    </font>
    <font>
      <b/>
      <sz val="9"/>
      <color theme="1"/>
      <name val="Arial"/>
      <family val="2"/>
    </font>
    <font>
      <sz val="9"/>
      <name val="Arial"/>
      <family val="2"/>
    </font>
    <font>
      <sz val="8"/>
      <name val="Arial"/>
      <family val="2"/>
    </font>
    <font>
      <sz val="8"/>
      <color theme="1"/>
      <name val="Arial"/>
      <family val="2"/>
    </font>
    <font>
      <b/>
      <sz val="12"/>
      <color rgb="FFC00000"/>
      <name val="Arial"/>
      <family val="2"/>
    </font>
    <font>
      <b/>
      <sz val="10"/>
      <color theme="1"/>
      <name val="Arial"/>
      <family val="2"/>
    </font>
    <font>
      <sz val="10"/>
      <color theme="1"/>
      <name val="Arial"/>
      <family val="2"/>
    </font>
    <font>
      <b/>
      <sz val="8"/>
      <name val="Arial"/>
      <family val="2"/>
    </font>
    <font>
      <b/>
      <sz val="16"/>
      <color rgb="FF000099"/>
      <name val="Calibri"/>
      <family val="2"/>
      <scheme val="minor"/>
    </font>
    <font>
      <sz val="14"/>
      <color rgb="FF000099"/>
      <name val="Calibri"/>
      <family val="2"/>
      <scheme val="minor"/>
    </font>
    <font>
      <sz val="14"/>
      <color rgb="FF000099"/>
      <name val="Arial"/>
      <family val="2"/>
    </font>
    <font>
      <b/>
      <sz val="10"/>
      <color rgb="FF000099"/>
      <name val="Arial"/>
      <family val="2"/>
    </font>
    <font>
      <b/>
      <sz val="14"/>
      <color rgb="FF0000CC"/>
      <name val="Calibri"/>
      <family val="2"/>
      <scheme val="minor"/>
    </font>
    <font>
      <sz val="14"/>
      <name val="Calibri"/>
      <family val="2"/>
      <scheme val="minor"/>
    </font>
    <font>
      <sz val="14"/>
      <color theme="1"/>
      <name val="Calibri"/>
      <family val="2"/>
      <scheme val="minor"/>
    </font>
    <font>
      <b/>
      <sz val="12"/>
      <name val="Arial Narrow"/>
      <family val="2"/>
    </font>
    <font>
      <b/>
      <vertAlign val="subscript"/>
      <sz val="12"/>
      <name val="Arial Narrow"/>
      <family val="2"/>
    </font>
    <font>
      <b/>
      <sz val="9"/>
      <color rgb="FF0000CC"/>
      <name val="Arial"/>
      <family val="2"/>
    </font>
    <font>
      <sz val="8"/>
      <color rgb="FFFF0000"/>
      <name val="Arial"/>
      <family val="2"/>
    </font>
    <font>
      <b/>
      <sz val="10.5"/>
      <name val="Arial"/>
      <family val="2"/>
    </font>
    <font>
      <sz val="10.5"/>
      <name val="Arial"/>
      <family val="2"/>
    </font>
    <font>
      <b/>
      <sz val="10.5"/>
      <color rgb="FFC00000"/>
      <name val="Arial"/>
      <family val="2"/>
    </font>
    <font>
      <b/>
      <sz val="10.5"/>
      <color rgb="FF0000CC"/>
      <name val="Arial"/>
      <family val="2"/>
    </font>
    <font>
      <sz val="10.5"/>
      <name val="Symbol"/>
      <family val="1"/>
      <charset val="2"/>
    </font>
    <font>
      <sz val="10.5"/>
      <color theme="1"/>
      <name val="Calibri"/>
      <family val="2"/>
      <scheme val="minor"/>
    </font>
    <font>
      <sz val="9"/>
      <color theme="1"/>
      <name val="Arial"/>
      <family val="2"/>
    </font>
    <font>
      <sz val="9"/>
      <color rgb="FF000000"/>
      <name val="Arial"/>
      <family val="2"/>
    </font>
    <font>
      <b/>
      <sz val="10.5"/>
      <color theme="1"/>
      <name val="Arial"/>
      <family val="2"/>
    </font>
    <font>
      <b/>
      <i/>
      <sz val="10.5"/>
      <name val="Arial"/>
      <family val="2"/>
    </font>
  </fonts>
  <fills count="8">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rgb="FFFFC000"/>
        <bgColor indexed="64"/>
      </patternFill>
    </fill>
    <fill>
      <patternFill patternType="solid">
        <fgColor indexed="15"/>
        <bgColor indexed="64"/>
      </patternFill>
    </fill>
    <fill>
      <patternFill patternType="solid">
        <fgColor rgb="FF00FFFF"/>
        <bgColor indexed="64"/>
      </patternFill>
    </fill>
    <fill>
      <patternFill patternType="solid">
        <fgColor theme="4" tint="0.59999389629810485"/>
        <bgColor indexed="64"/>
      </patternFill>
    </fill>
  </fills>
  <borders count="29">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2" fillId="0" borderId="0"/>
  </cellStyleXfs>
  <cellXfs count="240">
    <xf numFmtId="0" fontId="0" fillId="0" borderId="0" xfId="0"/>
    <xf numFmtId="0" fontId="7" fillId="3" borderId="5" xfId="0" applyFont="1" applyFill="1" applyBorder="1" applyProtection="1">
      <protection hidden="1"/>
    </xf>
    <xf numFmtId="0" fontId="6" fillId="3" borderId="1" xfId="0" applyFont="1" applyFill="1" applyBorder="1" applyProtection="1">
      <protection hidden="1"/>
    </xf>
    <xf numFmtId="0" fontId="7" fillId="3" borderId="0" xfId="0" applyFont="1" applyFill="1" applyProtection="1">
      <protection hidden="1"/>
    </xf>
    <xf numFmtId="0" fontId="7" fillId="3" borderId="2" xfId="0" applyFont="1" applyFill="1" applyBorder="1" applyProtection="1">
      <protection hidden="1"/>
    </xf>
    <xf numFmtId="0" fontId="6" fillId="3" borderId="0" xfId="0" applyFont="1" applyFill="1" applyProtection="1">
      <protection hidden="1"/>
    </xf>
    <xf numFmtId="0" fontId="6" fillId="3" borderId="0" xfId="0" applyFont="1" applyFill="1" applyAlignment="1" applyProtection="1">
      <alignment horizontal="left"/>
      <protection hidden="1"/>
    </xf>
    <xf numFmtId="0" fontId="6" fillId="3" borderId="2" xfId="0" applyFont="1" applyFill="1" applyBorder="1" applyAlignment="1" applyProtection="1">
      <alignment horizontal="left"/>
      <protection hidden="1"/>
    </xf>
    <xf numFmtId="0" fontId="7" fillId="3" borderId="10" xfId="0" applyFont="1" applyFill="1" applyBorder="1" applyProtection="1">
      <protection hidden="1"/>
    </xf>
    <xf numFmtId="0" fontId="16" fillId="3" borderId="10" xfId="0" applyFont="1" applyFill="1" applyBorder="1" applyAlignment="1" applyProtection="1">
      <alignment horizontal="left"/>
      <protection hidden="1"/>
    </xf>
    <xf numFmtId="0" fontId="17" fillId="3" borderId="10" xfId="0" applyFont="1" applyFill="1" applyBorder="1" applyProtection="1">
      <protection hidden="1"/>
    </xf>
    <xf numFmtId="0" fontId="8" fillId="3" borderId="10" xfId="0" applyFont="1" applyFill="1" applyBorder="1" applyAlignment="1" applyProtection="1">
      <alignment horizontal="left"/>
      <protection hidden="1"/>
    </xf>
    <xf numFmtId="0" fontId="6" fillId="3" borderId="8" xfId="0" applyFont="1" applyFill="1" applyBorder="1" applyAlignment="1" applyProtection="1">
      <alignment horizontal="left"/>
      <protection hidden="1"/>
    </xf>
    <xf numFmtId="0" fontId="15" fillId="3" borderId="1" xfId="0" applyFont="1" applyFill="1" applyBorder="1" applyProtection="1">
      <protection hidden="1"/>
    </xf>
    <xf numFmtId="0" fontId="16" fillId="3" borderId="9" xfId="0" applyFont="1" applyFill="1" applyBorder="1" applyAlignment="1" applyProtection="1">
      <alignment horizontal="left"/>
      <protection hidden="1"/>
    </xf>
    <xf numFmtId="0" fontId="30" fillId="3" borderId="4" xfId="0" applyFont="1" applyFill="1" applyBorder="1" applyAlignment="1" applyProtection="1">
      <alignment vertical="top"/>
      <protection hidden="1"/>
    </xf>
    <xf numFmtId="0" fontId="31" fillId="3" borderId="4" xfId="0" applyFont="1" applyFill="1" applyBorder="1" applyAlignment="1" applyProtection="1">
      <alignment vertical="top"/>
      <protection hidden="1"/>
    </xf>
    <xf numFmtId="0" fontId="31" fillId="3" borderId="5" xfId="0" applyFont="1" applyFill="1" applyBorder="1" applyAlignment="1" applyProtection="1">
      <alignment vertical="top"/>
      <protection hidden="1"/>
    </xf>
    <xf numFmtId="0" fontId="30" fillId="3" borderId="0" xfId="0" applyFont="1" applyFill="1" applyAlignment="1" applyProtection="1">
      <alignment vertical="top"/>
      <protection hidden="1"/>
    </xf>
    <xf numFmtId="0" fontId="31" fillId="3" borderId="0" xfId="0" applyFont="1" applyFill="1" applyAlignment="1" applyProtection="1">
      <alignment vertical="top"/>
      <protection hidden="1"/>
    </xf>
    <xf numFmtId="0" fontId="31" fillId="3" borderId="2" xfId="0" applyFont="1" applyFill="1" applyBorder="1" applyAlignment="1" applyProtection="1">
      <alignment vertical="top"/>
      <protection hidden="1"/>
    </xf>
    <xf numFmtId="0" fontId="30" fillId="3" borderId="0" xfId="0" applyFont="1" applyFill="1" applyAlignment="1" applyProtection="1">
      <alignment horizontal="left" vertical="top"/>
      <protection hidden="1"/>
    </xf>
    <xf numFmtId="0" fontId="30" fillId="3" borderId="0" xfId="0" applyFont="1" applyFill="1" applyAlignment="1" applyProtection="1">
      <alignment horizontal="center" vertical="top"/>
      <protection hidden="1"/>
    </xf>
    <xf numFmtId="0" fontId="30" fillId="3" borderId="3" xfId="0" applyFont="1" applyFill="1" applyBorder="1" applyAlignment="1" applyProtection="1">
      <alignment vertical="top"/>
      <protection hidden="1"/>
    </xf>
    <xf numFmtId="0" fontId="34" fillId="3" borderId="4" xfId="0" applyFont="1" applyFill="1" applyBorder="1" applyAlignment="1" applyProtection="1">
      <alignment horizontal="center" vertical="top"/>
      <protection hidden="1"/>
    </xf>
    <xf numFmtId="0" fontId="30" fillId="3" borderId="1" xfId="0" applyFont="1" applyFill="1" applyBorder="1" applyAlignment="1" applyProtection="1">
      <alignment vertical="top"/>
      <protection hidden="1"/>
    </xf>
    <xf numFmtId="9" fontId="30" fillId="3" borderId="0" xfId="0" applyNumberFormat="1" applyFont="1" applyFill="1" applyAlignment="1" applyProtection="1">
      <alignment horizontal="left" vertical="top"/>
      <protection hidden="1"/>
    </xf>
    <xf numFmtId="0" fontId="31" fillId="3" borderId="1" xfId="0" applyFont="1" applyFill="1" applyBorder="1" applyAlignment="1" applyProtection="1">
      <alignment vertical="top"/>
      <protection hidden="1"/>
    </xf>
    <xf numFmtId="0" fontId="30" fillId="3" borderId="9" xfId="0" applyFont="1" applyFill="1" applyBorder="1" applyAlignment="1" applyProtection="1">
      <alignment vertical="top"/>
      <protection hidden="1"/>
    </xf>
    <xf numFmtId="0" fontId="31" fillId="3" borderId="10" xfId="0" applyFont="1" applyFill="1" applyBorder="1" applyAlignment="1" applyProtection="1">
      <alignment vertical="top"/>
      <protection hidden="1"/>
    </xf>
    <xf numFmtId="0" fontId="30" fillId="3" borderId="10" xfId="0" applyFont="1" applyFill="1" applyBorder="1" applyAlignment="1" applyProtection="1">
      <alignment vertical="top"/>
      <protection hidden="1"/>
    </xf>
    <xf numFmtId="0" fontId="30" fillId="3" borderId="4" xfId="0" applyFont="1" applyFill="1" applyBorder="1" applyAlignment="1" applyProtection="1">
      <alignment horizontal="left" vertical="top"/>
      <protection hidden="1"/>
    </xf>
    <xf numFmtId="0" fontId="30" fillId="3" borderId="1" xfId="2" applyFont="1" applyFill="1" applyBorder="1" applyAlignment="1" applyProtection="1">
      <alignment vertical="top"/>
      <protection hidden="1"/>
    </xf>
    <xf numFmtId="0" fontId="30" fillId="3" borderId="0" xfId="2" applyFont="1" applyFill="1" applyAlignment="1" applyProtection="1">
      <alignment vertical="top"/>
      <protection hidden="1"/>
    </xf>
    <xf numFmtId="0" fontId="35" fillId="3" borderId="0" xfId="2" applyFont="1" applyFill="1" applyAlignment="1" applyProtection="1">
      <alignment vertical="top"/>
      <protection hidden="1"/>
    </xf>
    <xf numFmtId="0" fontId="30" fillId="3" borderId="0" xfId="2" applyFont="1" applyFill="1" applyAlignment="1" applyProtection="1">
      <alignment horizontal="left" vertical="top"/>
      <protection hidden="1"/>
    </xf>
    <xf numFmtId="0" fontId="0" fillId="2" borderId="0" xfId="0" applyFill="1" applyProtection="1">
      <protection hidden="1"/>
    </xf>
    <xf numFmtId="164" fontId="30" fillId="3" borderId="4" xfId="0" applyNumberFormat="1" applyFont="1" applyFill="1" applyBorder="1" applyAlignment="1" applyProtection="1">
      <alignment horizontal="left" vertical="top"/>
      <protection hidden="1"/>
    </xf>
    <xf numFmtId="0" fontId="6" fillId="4" borderId="20" xfId="0" applyFont="1" applyFill="1" applyBorder="1" applyAlignment="1" applyProtection="1">
      <alignment horizontal="center"/>
      <protection hidden="1"/>
    </xf>
    <xf numFmtId="0" fontId="12" fillId="6" borderId="0" xfId="2" applyFont="1" applyFill="1" applyAlignment="1" applyProtection="1">
      <alignment horizontal="center"/>
      <protection hidden="1"/>
    </xf>
    <xf numFmtId="0" fontId="6" fillId="6" borderId="20" xfId="0" applyFont="1" applyFill="1" applyBorder="1" applyAlignment="1" applyProtection="1">
      <alignment horizontal="center"/>
      <protection hidden="1"/>
    </xf>
    <xf numFmtId="0" fontId="36" fillId="0" borderId="15" xfId="0" applyFont="1" applyBorder="1" applyProtection="1">
      <protection hidden="1"/>
    </xf>
    <xf numFmtId="0" fontId="9" fillId="7" borderId="27" xfId="2" applyFont="1" applyFill="1" applyBorder="1" applyProtection="1">
      <protection hidden="1"/>
    </xf>
    <xf numFmtId="0" fontId="9" fillId="7" borderId="3" xfId="2" applyFont="1" applyFill="1" applyBorder="1" applyProtection="1">
      <protection hidden="1"/>
    </xf>
    <xf numFmtId="0" fontId="9" fillId="7" borderId="4" xfId="2" applyFont="1" applyFill="1" applyBorder="1" applyProtection="1">
      <protection hidden="1"/>
    </xf>
    <xf numFmtId="0" fontId="9" fillId="7" borderId="5" xfId="2" applyFont="1" applyFill="1" applyBorder="1" applyProtection="1">
      <protection hidden="1"/>
    </xf>
    <xf numFmtId="0" fontId="11" fillId="7" borderId="28" xfId="2" applyFont="1" applyFill="1" applyBorder="1" applyProtection="1">
      <protection hidden="1"/>
    </xf>
    <xf numFmtId="0" fontId="11" fillId="7" borderId="9" xfId="2" applyFont="1" applyFill="1" applyBorder="1" applyProtection="1">
      <protection hidden="1"/>
    </xf>
    <xf numFmtId="0" fontId="11" fillId="7" borderId="10" xfId="2" applyFont="1" applyFill="1" applyBorder="1" applyProtection="1">
      <protection hidden="1"/>
    </xf>
    <xf numFmtId="0" fontId="11" fillId="7" borderId="8" xfId="2" applyFont="1" applyFill="1" applyBorder="1" applyProtection="1">
      <protection hidden="1"/>
    </xf>
    <xf numFmtId="14" fontId="11" fillId="7" borderId="10" xfId="2" applyNumberFormat="1" applyFont="1" applyFill="1" applyBorder="1" applyProtection="1">
      <protection hidden="1"/>
    </xf>
    <xf numFmtId="164" fontId="11" fillId="7" borderId="8" xfId="2" applyNumberFormat="1" applyFont="1" applyFill="1" applyBorder="1" applyProtection="1">
      <protection hidden="1"/>
    </xf>
    <xf numFmtId="164" fontId="31" fillId="3" borderId="0" xfId="2" applyNumberFormat="1" applyFont="1" applyFill="1" applyAlignment="1" applyProtection="1">
      <alignment vertical="top"/>
      <protection hidden="1"/>
    </xf>
    <xf numFmtId="165" fontId="31" fillId="3" borderId="0" xfId="2" applyNumberFormat="1" applyFont="1" applyFill="1" applyAlignment="1" applyProtection="1">
      <alignment horizontal="right" vertical="top"/>
      <protection hidden="1"/>
    </xf>
    <xf numFmtId="14" fontId="13" fillId="3" borderId="1" xfId="2" applyNumberFormat="1" applyFont="1" applyFill="1" applyBorder="1" applyAlignment="1" applyProtection="1">
      <alignment horizontal="right"/>
      <protection hidden="1"/>
    </xf>
    <xf numFmtId="164" fontId="13" fillId="3" borderId="0" xfId="2" applyNumberFormat="1" applyFont="1" applyFill="1" applyAlignment="1" applyProtection="1">
      <alignment horizontal="right"/>
      <protection hidden="1"/>
    </xf>
    <xf numFmtId="0" fontId="13" fillId="3" borderId="0" xfId="2" applyFont="1" applyFill="1" applyAlignment="1" applyProtection="1">
      <alignment horizontal="right"/>
      <protection hidden="1"/>
    </xf>
    <xf numFmtId="0" fontId="14" fillId="3" borderId="0" xfId="2" applyFont="1" applyFill="1" applyAlignment="1" applyProtection="1">
      <alignment horizontal="right"/>
      <protection hidden="1"/>
    </xf>
    <xf numFmtId="9" fontId="14" fillId="3" borderId="0" xfId="1" applyFont="1" applyFill="1" applyBorder="1" applyAlignment="1" applyProtection="1">
      <alignment horizontal="right"/>
      <protection hidden="1"/>
    </xf>
    <xf numFmtId="165" fontId="13" fillId="3" borderId="2" xfId="2" applyNumberFormat="1" applyFont="1" applyFill="1" applyBorder="1" applyAlignment="1" applyProtection="1">
      <alignment horizontal="right"/>
      <protection hidden="1"/>
    </xf>
    <xf numFmtId="0" fontId="18" fillId="2" borderId="1" xfId="2" applyFont="1" applyFill="1" applyBorder="1" applyProtection="1">
      <protection hidden="1"/>
    </xf>
    <xf numFmtId="0" fontId="13" fillId="2" borderId="0" xfId="2" applyFont="1" applyFill="1" applyProtection="1">
      <protection hidden="1"/>
    </xf>
    <xf numFmtId="0" fontId="2" fillId="2" borderId="0" xfId="2" applyFill="1" applyProtection="1">
      <protection hidden="1"/>
    </xf>
    <xf numFmtId="0" fontId="18" fillId="2" borderId="0" xfId="2" applyFont="1" applyFill="1" applyProtection="1">
      <protection hidden="1"/>
    </xf>
    <xf numFmtId="0" fontId="18" fillId="2" borderId="0" xfId="2" applyFont="1" applyFill="1" applyAlignment="1" applyProtection="1">
      <alignment vertical="top" wrapText="1"/>
      <protection hidden="1"/>
    </xf>
    <xf numFmtId="0" fontId="18" fillId="2" borderId="0" xfId="2" applyFont="1" applyFill="1" applyAlignment="1" applyProtection="1">
      <alignment horizontal="left"/>
      <protection hidden="1"/>
    </xf>
    <xf numFmtId="0" fontId="18" fillId="2" borderId="0" xfId="2" applyFont="1" applyFill="1" applyAlignment="1" applyProtection="1">
      <alignment horizontal="center"/>
      <protection hidden="1"/>
    </xf>
    <xf numFmtId="0" fontId="2" fillId="2" borderId="10" xfId="2" applyFill="1" applyBorder="1" applyProtection="1">
      <protection hidden="1"/>
    </xf>
    <xf numFmtId="0" fontId="18" fillId="3" borderId="3" xfId="2" applyFont="1" applyFill="1" applyBorder="1" applyProtection="1">
      <protection hidden="1"/>
    </xf>
    <xf numFmtId="0" fontId="13" fillId="3" borderId="4" xfId="2" applyFont="1" applyFill="1" applyBorder="1" applyProtection="1">
      <protection hidden="1"/>
    </xf>
    <xf numFmtId="0" fontId="2" fillId="3" borderId="4" xfId="2" applyFill="1" applyBorder="1" applyProtection="1">
      <protection hidden="1"/>
    </xf>
    <xf numFmtId="0" fontId="18" fillId="3" borderId="4" xfId="2" applyFont="1" applyFill="1" applyBorder="1" applyProtection="1">
      <protection hidden="1"/>
    </xf>
    <xf numFmtId="0" fontId="18" fillId="3" borderId="4" xfId="2" applyFont="1" applyFill="1" applyBorder="1" applyAlignment="1" applyProtection="1">
      <alignment vertical="top" wrapText="1"/>
      <protection hidden="1"/>
    </xf>
    <xf numFmtId="0" fontId="18" fillId="3" borderId="4" xfId="2" applyFont="1" applyFill="1" applyBorder="1" applyAlignment="1" applyProtection="1">
      <alignment horizontal="left"/>
      <protection hidden="1"/>
    </xf>
    <xf numFmtId="0" fontId="18" fillId="3" borderId="4" xfId="2" applyFont="1" applyFill="1" applyBorder="1" applyAlignment="1" applyProtection="1">
      <alignment horizontal="center"/>
      <protection hidden="1"/>
    </xf>
    <xf numFmtId="0" fontId="2" fillId="3" borderId="0" xfId="2" applyFill="1" applyProtection="1">
      <protection hidden="1"/>
    </xf>
    <xf numFmtId="0" fontId="2" fillId="3" borderId="5" xfId="2" applyFill="1" applyBorder="1" applyProtection="1">
      <protection hidden="1"/>
    </xf>
    <xf numFmtId="0" fontId="19" fillId="3" borderId="1" xfId="2" applyFont="1" applyFill="1" applyBorder="1" applyProtection="1">
      <protection hidden="1"/>
    </xf>
    <xf numFmtId="0" fontId="20" fillId="3" borderId="0" xfId="2" applyFont="1" applyFill="1" applyProtection="1">
      <protection hidden="1"/>
    </xf>
    <xf numFmtId="14" fontId="21" fillId="3" borderId="0" xfId="0" applyNumberFormat="1" applyFont="1" applyFill="1" applyProtection="1">
      <protection hidden="1"/>
    </xf>
    <xf numFmtId="18" fontId="21" fillId="3" borderId="0" xfId="0" applyNumberFormat="1" applyFont="1" applyFill="1" applyProtection="1">
      <protection hidden="1"/>
    </xf>
    <xf numFmtId="14" fontId="22" fillId="3" borderId="0" xfId="0" applyNumberFormat="1" applyFont="1" applyFill="1" applyProtection="1">
      <protection hidden="1"/>
    </xf>
    <xf numFmtId="14" fontId="6" fillId="3" borderId="0" xfId="2" applyNumberFormat="1" applyFont="1" applyFill="1" applyAlignment="1" applyProtection="1">
      <alignment vertical="center"/>
      <protection hidden="1"/>
    </xf>
    <xf numFmtId="0" fontId="6" fillId="3" borderId="0" xfId="2" applyFont="1" applyFill="1" applyProtection="1">
      <protection hidden="1"/>
    </xf>
    <xf numFmtId="0" fontId="23" fillId="3" borderId="0" xfId="2" applyFont="1" applyFill="1" applyAlignment="1" applyProtection="1">
      <alignment horizontal="left"/>
      <protection hidden="1"/>
    </xf>
    <xf numFmtId="0" fontId="24" fillId="3" borderId="0" xfId="2" applyFont="1" applyFill="1" applyProtection="1">
      <protection hidden="1"/>
    </xf>
    <xf numFmtId="0" fontId="25" fillId="3" borderId="0" xfId="2" applyFont="1" applyFill="1" applyProtection="1">
      <protection hidden="1"/>
    </xf>
    <xf numFmtId="0" fontId="2" fillId="3" borderId="2" xfId="2" applyFill="1" applyBorder="1" applyProtection="1">
      <protection hidden="1"/>
    </xf>
    <xf numFmtId="0" fontId="10" fillId="3" borderId="0" xfId="2" applyFont="1" applyFill="1" applyProtection="1">
      <protection hidden="1"/>
    </xf>
    <xf numFmtId="0" fontId="12" fillId="3" borderId="0" xfId="2" applyFont="1" applyFill="1" applyProtection="1">
      <protection hidden="1"/>
    </xf>
    <xf numFmtId="14" fontId="12" fillId="3" borderId="0" xfId="2" applyNumberFormat="1" applyFont="1" applyFill="1" applyProtection="1">
      <protection hidden="1"/>
    </xf>
    <xf numFmtId="164" fontId="12" fillId="3" borderId="0" xfId="2" applyNumberFormat="1" applyFont="1" applyFill="1" applyProtection="1">
      <protection hidden="1"/>
    </xf>
    <xf numFmtId="0" fontId="6" fillId="4" borderId="19" xfId="2" applyFont="1" applyFill="1" applyBorder="1" applyProtection="1">
      <protection hidden="1"/>
    </xf>
    <xf numFmtId="164" fontId="12" fillId="0" borderId="20" xfId="2" applyNumberFormat="1" applyFont="1" applyBorder="1" applyAlignment="1" applyProtection="1">
      <alignment horizontal="right"/>
      <protection hidden="1"/>
    </xf>
    <xf numFmtId="164" fontId="12" fillId="0" borderId="0" xfId="2" applyNumberFormat="1" applyFont="1" applyAlignment="1" applyProtection="1">
      <alignment horizontal="right"/>
      <protection hidden="1"/>
    </xf>
    <xf numFmtId="164" fontId="12" fillId="0" borderId="15" xfId="2" applyNumberFormat="1" applyFont="1" applyBorder="1" applyAlignment="1" applyProtection="1">
      <alignment horizontal="right"/>
      <protection hidden="1"/>
    </xf>
    <xf numFmtId="0" fontId="13" fillId="3" borderId="0" xfId="2" applyFont="1" applyFill="1" applyProtection="1">
      <protection hidden="1"/>
    </xf>
    <xf numFmtId="14" fontId="13" fillId="3" borderId="0" xfId="2" applyNumberFormat="1" applyFont="1" applyFill="1" applyAlignment="1" applyProtection="1">
      <alignment horizontal="right"/>
      <protection hidden="1"/>
    </xf>
    <xf numFmtId="9" fontId="13" fillId="3" borderId="0" xfId="1" quotePrefix="1" applyFont="1" applyFill="1" applyBorder="1" applyAlignment="1" applyProtection="1">
      <alignment horizontal="right"/>
      <protection hidden="1"/>
    </xf>
    <xf numFmtId="165" fontId="13" fillId="3" borderId="0" xfId="2" applyNumberFormat="1" applyFont="1" applyFill="1" applyAlignment="1" applyProtection="1">
      <alignment horizontal="right"/>
      <protection hidden="1"/>
    </xf>
    <xf numFmtId="0" fontId="6" fillId="4" borderId="21" xfId="2" applyFont="1" applyFill="1" applyBorder="1" applyProtection="1">
      <protection hidden="1"/>
    </xf>
    <xf numFmtId="0" fontId="12" fillId="4" borderId="1" xfId="2" applyFont="1" applyFill="1" applyBorder="1" applyAlignment="1" applyProtection="1">
      <alignment horizontal="center"/>
      <protection hidden="1"/>
    </xf>
    <xf numFmtId="14" fontId="12" fillId="4" borderId="0" xfId="0" applyNumberFormat="1" applyFont="1" applyFill="1" applyProtection="1">
      <protection hidden="1"/>
    </xf>
    <xf numFmtId="164" fontId="36" fillId="0" borderId="0" xfId="0" applyNumberFormat="1" applyFont="1" applyProtection="1">
      <protection hidden="1"/>
    </xf>
    <xf numFmtId="0" fontId="6" fillId="4" borderId="21" xfId="2" applyFont="1" applyFill="1" applyBorder="1" applyAlignment="1" applyProtection="1">
      <alignment horizontal="center"/>
      <protection hidden="1"/>
    </xf>
    <xf numFmtId="0" fontId="6" fillId="4" borderId="1" xfId="2" applyFont="1" applyFill="1" applyBorder="1" applyAlignment="1" applyProtection="1">
      <alignment horizontal="center"/>
      <protection hidden="1"/>
    </xf>
    <xf numFmtId="0" fontId="14" fillId="3" borderId="0" xfId="2" applyFont="1" applyFill="1" applyProtection="1">
      <protection hidden="1"/>
    </xf>
    <xf numFmtId="14" fontId="37" fillId="4" borderId="10" xfId="0" applyNumberFormat="1" applyFont="1" applyFill="1" applyBorder="1" applyProtection="1">
      <protection hidden="1"/>
    </xf>
    <xf numFmtId="0" fontId="2" fillId="4" borderId="21" xfId="2" applyFill="1" applyBorder="1" applyProtection="1">
      <protection hidden="1"/>
    </xf>
    <xf numFmtId="0" fontId="12" fillId="4" borderId="3" xfId="2" applyFont="1" applyFill="1" applyBorder="1" applyProtection="1">
      <protection hidden="1"/>
    </xf>
    <xf numFmtId="0" fontId="2" fillId="4" borderId="0" xfId="2" applyFill="1" applyProtection="1">
      <protection hidden="1"/>
    </xf>
    <xf numFmtId="2" fontId="28" fillId="0" borderId="23" xfId="2" applyNumberFormat="1" applyFont="1" applyBorder="1" applyAlignment="1" applyProtection="1">
      <alignment horizontal="center"/>
      <protection hidden="1"/>
    </xf>
    <xf numFmtId="2" fontId="28" fillId="0" borderId="4" xfId="2" applyNumberFormat="1" applyFont="1" applyBorder="1" applyAlignment="1" applyProtection="1">
      <alignment horizontal="center"/>
      <protection hidden="1"/>
    </xf>
    <xf numFmtId="2" fontId="28" fillId="0" borderId="22" xfId="2" applyNumberFormat="1" applyFont="1" applyBorder="1" applyAlignment="1" applyProtection="1">
      <alignment horizontal="center"/>
      <protection hidden="1"/>
    </xf>
    <xf numFmtId="0" fontId="2" fillId="3" borderId="0" xfId="2" applyFill="1" applyAlignment="1" applyProtection="1">
      <alignment horizontal="center"/>
      <protection hidden="1"/>
    </xf>
    <xf numFmtId="0" fontId="2" fillId="4" borderId="24" xfId="2" applyFill="1" applyBorder="1" applyProtection="1">
      <protection hidden="1"/>
    </xf>
    <xf numFmtId="0" fontId="12" fillId="4" borderId="25" xfId="2" applyFont="1" applyFill="1" applyBorder="1" applyProtection="1">
      <protection hidden="1"/>
    </xf>
    <xf numFmtId="0" fontId="2" fillId="4" borderId="17" xfId="2" applyFill="1" applyBorder="1" applyProtection="1">
      <protection hidden="1"/>
    </xf>
    <xf numFmtId="2" fontId="28" fillId="0" borderId="16" xfId="2" applyNumberFormat="1" applyFont="1" applyBorder="1" applyAlignment="1" applyProtection="1">
      <alignment horizontal="center"/>
      <protection hidden="1"/>
    </xf>
    <xf numFmtId="2" fontId="28" fillId="0" borderId="17" xfId="2" applyNumberFormat="1" applyFont="1" applyBorder="1" applyAlignment="1" applyProtection="1">
      <alignment horizontal="center"/>
      <protection hidden="1"/>
    </xf>
    <xf numFmtId="2" fontId="28" fillId="0" borderId="18" xfId="2" applyNumberFormat="1" applyFont="1" applyBorder="1" applyAlignment="1" applyProtection="1">
      <alignment horizontal="center"/>
      <protection hidden="1"/>
    </xf>
    <xf numFmtId="0" fontId="6" fillId="5" borderId="21" xfId="2" applyFont="1" applyFill="1" applyBorder="1" applyProtection="1">
      <protection hidden="1"/>
    </xf>
    <xf numFmtId="0" fontId="12" fillId="6" borderId="1" xfId="2" applyFont="1" applyFill="1" applyBorder="1" applyAlignment="1" applyProtection="1">
      <alignment horizontal="center"/>
      <protection hidden="1"/>
    </xf>
    <xf numFmtId="0" fontId="6" fillId="5" borderId="21" xfId="2" applyFont="1" applyFill="1" applyBorder="1" applyAlignment="1" applyProtection="1">
      <alignment horizontal="center"/>
      <protection hidden="1"/>
    </xf>
    <xf numFmtId="14" fontId="37" fillId="6" borderId="10" xfId="0" applyNumberFormat="1" applyFont="1" applyFill="1" applyBorder="1" applyProtection="1">
      <protection hidden="1"/>
    </xf>
    <xf numFmtId="0" fontId="2" fillId="5" borderId="21" xfId="2" applyFill="1" applyBorder="1" applyAlignment="1" applyProtection="1">
      <alignment horizontal="center"/>
      <protection hidden="1"/>
    </xf>
    <xf numFmtId="0" fontId="12" fillId="6" borderId="4" xfId="2" applyFont="1" applyFill="1" applyBorder="1" applyProtection="1">
      <protection hidden="1"/>
    </xf>
    <xf numFmtId="0" fontId="2" fillId="6" borderId="0" xfId="2" applyFill="1" applyProtection="1">
      <protection hidden="1"/>
    </xf>
    <xf numFmtId="0" fontId="2" fillId="5" borderId="24" xfId="2" applyFill="1" applyBorder="1" applyAlignment="1" applyProtection="1">
      <alignment horizontal="center"/>
      <protection hidden="1"/>
    </xf>
    <xf numFmtId="0" fontId="12" fillId="6" borderId="17" xfId="2" applyFont="1" applyFill="1" applyBorder="1" applyProtection="1">
      <protection hidden="1"/>
    </xf>
    <xf numFmtId="0" fontId="2" fillId="6" borderId="17" xfId="2" applyFill="1" applyBorder="1" applyProtection="1">
      <protection hidden="1"/>
    </xf>
    <xf numFmtId="0" fontId="2" fillId="3" borderId="1" xfId="2" applyFill="1" applyBorder="1" applyAlignment="1" applyProtection="1">
      <alignment horizontal="center"/>
      <protection hidden="1"/>
    </xf>
    <xf numFmtId="166" fontId="13" fillId="3" borderId="0" xfId="2" applyNumberFormat="1" applyFont="1" applyFill="1" applyAlignment="1" applyProtection="1">
      <alignment horizontal="center"/>
      <protection hidden="1"/>
    </xf>
    <xf numFmtId="0" fontId="2" fillId="3" borderId="9" xfId="2" applyFill="1" applyBorder="1" applyAlignment="1" applyProtection="1">
      <alignment horizontal="center"/>
      <protection hidden="1"/>
    </xf>
    <xf numFmtId="0" fontId="12" fillId="3" borderId="10" xfId="2" applyFont="1" applyFill="1" applyBorder="1" applyProtection="1">
      <protection hidden="1"/>
    </xf>
    <xf numFmtId="0" fontId="2" fillId="3" borderId="10" xfId="2" applyFill="1" applyBorder="1" applyProtection="1">
      <protection hidden="1"/>
    </xf>
    <xf numFmtId="0" fontId="13" fillId="3" borderId="10" xfId="2" applyFont="1" applyFill="1" applyBorder="1" applyAlignment="1" applyProtection="1">
      <alignment horizontal="center"/>
      <protection hidden="1"/>
    </xf>
    <xf numFmtId="166" fontId="13" fillId="3" borderId="10" xfId="2" applyNumberFormat="1" applyFont="1" applyFill="1" applyBorder="1" applyAlignment="1" applyProtection="1">
      <alignment horizontal="center"/>
      <protection hidden="1"/>
    </xf>
    <xf numFmtId="166" fontId="29" fillId="3" borderId="10" xfId="2" applyNumberFormat="1" applyFont="1" applyFill="1" applyBorder="1" applyAlignment="1" applyProtection="1">
      <alignment horizontal="center"/>
      <protection hidden="1"/>
    </xf>
    <xf numFmtId="0" fontId="2" fillId="3" borderId="8" xfId="2" applyFill="1" applyBorder="1" applyProtection="1">
      <protection hidden="1"/>
    </xf>
    <xf numFmtId="0" fontId="2" fillId="2" borderId="1" xfId="2" applyFill="1" applyBorder="1" applyAlignment="1" applyProtection="1">
      <alignment horizontal="center"/>
      <protection hidden="1"/>
    </xf>
    <xf numFmtId="0" fontId="12" fillId="2" borderId="0" xfId="2" applyFont="1" applyFill="1" applyProtection="1">
      <protection hidden="1"/>
    </xf>
    <xf numFmtId="0" fontId="13" fillId="2" borderId="0" xfId="2" applyFont="1" applyFill="1" applyAlignment="1" applyProtection="1">
      <alignment horizontal="center"/>
      <protection hidden="1"/>
    </xf>
    <xf numFmtId="166" fontId="13" fillId="2" borderId="0" xfId="2" applyNumberFormat="1" applyFont="1" applyFill="1" applyAlignment="1" applyProtection="1">
      <alignment horizontal="center"/>
      <protection hidden="1"/>
    </xf>
    <xf numFmtId="166" fontId="29" fillId="2" borderId="0" xfId="2" applyNumberFormat="1" applyFont="1" applyFill="1" applyAlignment="1" applyProtection="1">
      <alignment horizontal="center"/>
      <protection hidden="1"/>
    </xf>
    <xf numFmtId="0" fontId="12" fillId="3" borderId="0" xfId="2" applyFont="1" applyFill="1" applyAlignment="1" applyProtection="1">
      <alignment horizontal="center"/>
      <protection hidden="1"/>
    </xf>
    <xf numFmtId="166" fontId="12" fillId="3" borderId="0" xfId="2" applyNumberFormat="1" applyFont="1" applyFill="1" applyAlignment="1" applyProtection="1">
      <alignment horizontal="center"/>
      <protection hidden="1"/>
    </xf>
    <xf numFmtId="0" fontId="7" fillId="3" borderId="11" xfId="2" applyFont="1" applyFill="1" applyBorder="1" applyProtection="1">
      <protection hidden="1"/>
    </xf>
    <xf numFmtId="0" fontId="7" fillId="3" borderId="12" xfId="2" applyFont="1" applyFill="1" applyBorder="1" applyProtection="1">
      <protection hidden="1"/>
    </xf>
    <xf numFmtId="0" fontId="7" fillId="3" borderId="13" xfId="2" applyFont="1" applyFill="1" applyBorder="1" applyProtection="1">
      <protection hidden="1"/>
    </xf>
    <xf numFmtId="0" fontId="26" fillId="3" borderId="14" xfId="2" applyFont="1" applyFill="1" applyBorder="1" applyAlignment="1" applyProtection="1">
      <alignment horizontal="center" vertical="center"/>
      <protection hidden="1"/>
    </xf>
    <xf numFmtId="0" fontId="26" fillId="3" borderId="12" xfId="2" applyFont="1" applyFill="1" applyBorder="1" applyAlignment="1" applyProtection="1">
      <alignment horizontal="center" vertical="center"/>
      <protection hidden="1"/>
    </xf>
    <xf numFmtId="0" fontId="26" fillId="3" borderId="12" xfId="2" applyFont="1" applyFill="1" applyBorder="1" applyAlignment="1" applyProtection="1">
      <alignment horizontal="left" vertical="center"/>
      <protection hidden="1"/>
    </xf>
    <xf numFmtId="0" fontId="26" fillId="3" borderId="13" xfId="2" applyFont="1" applyFill="1" applyBorder="1" applyAlignment="1" applyProtection="1">
      <alignment horizontal="center" vertical="center"/>
      <protection hidden="1"/>
    </xf>
    <xf numFmtId="0" fontId="6" fillId="3" borderId="1" xfId="2" applyFont="1" applyFill="1" applyBorder="1" applyProtection="1">
      <protection hidden="1"/>
    </xf>
    <xf numFmtId="0" fontId="6" fillId="3" borderId="0" xfId="2" applyFont="1" applyFill="1" applyAlignment="1" applyProtection="1">
      <alignment horizontal="center"/>
      <protection hidden="1"/>
    </xf>
    <xf numFmtId="0" fontId="6" fillId="3" borderId="15" xfId="2" applyFont="1" applyFill="1" applyBorder="1" applyAlignment="1" applyProtection="1">
      <alignment horizontal="center"/>
      <protection hidden="1"/>
    </xf>
    <xf numFmtId="0" fontId="7" fillId="3" borderId="16" xfId="2" applyFont="1" applyFill="1" applyBorder="1" applyAlignment="1" applyProtection="1">
      <alignment horizontal="center"/>
      <protection hidden="1"/>
    </xf>
    <xf numFmtId="0" fontId="7" fillId="3" borderId="17" xfId="2" applyFont="1" applyFill="1" applyBorder="1" applyAlignment="1" applyProtection="1">
      <alignment horizontal="center"/>
      <protection hidden="1"/>
    </xf>
    <xf numFmtId="0" fontId="7" fillId="3" borderId="18" xfId="2" applyFont="1" applyFill="1" applyBorder="1" applyAlignment="1" applyProtection="1">
      <alignment horizontal="center"/>
      <protection hidden="1"/>
    </xf>
    <xf numFmtId="14" fontId="12" fillId="6" borderId="0" xfId="0" applyNumberFormat="1" applyFont="1" applyFill="1" applyProtection="1">
      <protection locked="0" hidden="1"/>
    </xf>
    <xf numFmtId="0" fontId="36" fillId="0" borderId="0" xfId="0" applyFont="1" applyProtection="1">
      <protection hidden="1"/>
    </xf>
    <xf numFmtId="0" fontId="12" fillId="4" borderId="4" xfId="2" applyFont="1" applyFill="1" applyBorder="1" applyAlignment="1" applyProtection="1">
      <alignment horizontal="center"/>
      <protection hidden="1"/>
    </xf>
    <xf numFmtId="0" fontId="12" fillId="4" borderId="0" xfId="2" applyFont="1" applyFill="1" applyAlignment="1" applyProtection="1">
      <alignment horizontal="left"/>
      <protection hidden="1"/>
    </xf>
    <xf numFmtId="0" fontId="12" fillId="4" borderId="17" xfId="2" applyFont="1" applyFill="1" applyBorder="1" applyAlignment="1" applyProtection="1">
      <alignment horizontal="center"/>
      <protection hidden="1"/>
    </xf>
    <xf numFmtId="164" fontId="13" fillId="0" borderId="10" xfId="2" applyNumberFormat="1" applyFont="1" applyBorder="1" applyAlignment="1" applyProtection="1">
      <alignment horizontal="right"/>
      <protection locked="0" hidden="1"/>
    </xf>
    <xf numFmtId="9" fontId="13" fillId="0" borderId="10" xfId="1" quotePrefix="1" applyFont="1" applyFill="1" applyBorder="1" applyAlignment="1" applyProtection="1">
      <alignment horizontal="right"/>
      <protection locked="0" hidden="1"/>
    </xf>
    <xf numFmtId="165" fontId="13" fillId="0" borderId="8" xfId="2" applyNumberFormat="1" applyFont="1" applyBorder="1" applyAlignment="1" applyProtection="1">
      <alignment horizontal="right"/>
      <protection locked="0" hidden="1"/>
    </xf>
    <xf numFmtId="14" fontId="13" fillId="0" borderId="26" xfId="2" applyNumberFormat="1" applyFont="1" applyBorder="1" applyAlignment="1" applyProtection="1">
      <alignment horizontal="right"/>
      <protection locked="0" hidden="1"/>
    </xf>
    <xf numFmtId="167" fontId="13" fillId="0" borderId="10" xfId="2" applyNumberFormat="1" applyFont="1" applyBorder="1" applyAlignment="1" applyProtection="1">
      <alignment horizontal="right"/>
      <protection locked="0" hidden="1"/>
    </xf>
    <xf numFmtId="167" fontId="13" fillId="0" borderId="8" xfId="2" applyNumberFormat="1" applyFont="1" applyBorder="1" applyAlignment="1" applyProtection="1">
      <alignment horizontal="right"/>
      <protection locked="0" hidden="1"/>
    </xf>
    <xf numFmtId="0" fontId="6" fillId="4" borderId="1" xfId="2" applyFont="1" applyFill="1" applyBorder="1" applyProtection="1">
      <protection hidden="1"/>
    </xf>
    <xf numFmtId="0" fontId="12" fillId="4" borderId="11" xfId="2" applyFont="1" applyFill="1" applyBorder="1" applyAlignment="1" applyProtection="1">
      <alignment horizontal="center"/>
      <protection hidden="1"/>
    </xf>
    <xf numFmtId="0" fontId="6" fillId="5" borderId="1" xfId="2" applyFont="1" applyFill="1" applyBorder="1" applyProtection="1">
      <protection hidden="1"/>
    </xf>
    <xf numFmtId="0" fontId="12" fillId="6" borderId="0" xfId="0" applyFont="1" applyFill="1" applyAlignment="1" applyProtection="1">
      <alignment horizontal="left"/>
      <protection hidden="1"/>
    </xf>
    <xf numFmtId="0" fontId="12" fillId="6" borderId="4" xfId="2" applyFont="1" applyFill="1" applyBorder="1" applyAlignment="1" applyProtection="1">
      <alignment horizontal="center"/>
      <protection hidden="1"/>
    </xf>
    <xf numFmtId="0" fontId="12" fillId="6" borderId="17" xfId="2" applyFont="1" applyFill="1" applyBorder="1" applyAlignment="1" applyProtection="1">
      <alignment horizontal="center"/>
      <protection hidden="1"/>
    </xf>
    <xf numFmtId="2" fontId="12" fillId="0" borderId="0" xfId="2" applyNumberFormat="1" applyFont="1" applyAlignment="1" applyProtection="1">
      <alignment horizontal="right"/>
      <protection hidden="1"/>
    </xf>
    <xf numFmtId="164" fontId="12" fillId="0" borderId="20" xfId="2" applyNumberFormat="1" applyFont="1" applyBorder="1" applyAlignment="1" applyProtection="1">
      <alignment horizontal="right"/>
      <protection locked="0" hidden="1"/>
    </xf>
    <xf numFmtId="2" fontId="12" fillId="0" borderId="0" xfId="2" applyNumberFormat="1" applyFont="1" applyAlignment="1" applyProtection="1">
      <alignment horizontal="right"/>
      <protection locked="0" hidden="1"/>
    </xf>
    <xf numFmtId="2" fontId="36" fillId="0" borderId="15" xfId="0" applyNumberFormat="1" applyFont="1" applyBorder="1" applyProtection="1">
      <protection locked="0" hidden="1"/>
    </xf>
    <xf numFmtId="0" fontId="3" fillId="0" borderId="1" xfId="2" applyFont="1" applyBorder="1" applyProtection="1">
      <protection hidden="1"/>
    </xf>
    <xf numFmtId="0" fontId="3" fillId="0" borderId="0" xfId="2" applyFont="1" applyProtection="1">
      <protection hidden="1"/>
    </xf>
    <xf numFmtId="0" fontId="3" fillId="0" borderId="2" xfId="2" applyFont="1" applyBorder="1" applyProtection="1">
      <protection hidden="1"/>
    </xf>
    <xf numFmtId="0" fontId="4" fillId="0" borderId="2" xfId="0" applyFont="1" applyBorder="1" applyProtection="1">
      <protection hidden="1"/>
    </xf>
    <xf numFmtId="0" fontId="0" fillId="0" borderId="0" xfId="0" applyProtection="1">
      <protection hidden="1"/>
    </xf>
    <xf numFmtId="0" fontId="38" fillId="3" borderId="1" xfId="0" applyFont="1" applyFill="1" applyBorder="1"/>
    <xf numFmtId="0" fontId="11" fillId="0" borderId="28" xfId="2" applyFont="1" applyBorder="1" applyProtection="1">
      <protection locked="0" hidden="1"/>
    </xf>
    <xf numFmtId="0" fontId="11" fillId="0" borderId="9" xfId="2" applyFont="1" applyBorder="1" applyProtection="1">
      <protection locked="0" hidden="1"/>
    </xf>
    <xf numFmtId="0" fontId="11" fillId="0" borderId="10" xfId="2" applyFont="1" applyBorder="1" applyProtection="1">
      <protection locked="0" hidden="1"/>
    </xf>
    <xf numFmtId="0" fontId="11" fillId="0" borderId="8" xfId="2" applyFont="1" applyBorder="1" applyProtection="1">
      <protection locked="0" hidden="1"/>
    </xf>
    <xf numFmtId="14" fontId="11" fillId="0" borderId="10" xfId="2" applyNumberFormat="1" applyFont="1" applyBorder="1" applyProtection="1">
      <protection locked="0" hidden="1"/>
    </xf>
    <xf numFmtId="164" fontId="11" fillId="0" borderId="8" xfId="2" applyNumberFormat="1" applyFont="1" applyBorder="1" applyProtection="1">
      <protection locked="0" hidden="1"/>
    </xf>
    <xf numFmtId="0" fontId="12" fillId="6" borderId="0" xfId="0" applyFont="1" applyFill="1" applyAlignment="1" applyProtection="1">
      <alignment horizontal="center"/>
      <protection locked="0" hidden="1"/>
    </xf>
    <xf numFmtId="0" fontId="12" fillId="6" borderId="0" xfId="0" applyFont="1" applyFill="1" applyAlignment="1" applyProtection="1">
      <alignment horizontal="center"/>
      <protection hidden="1"/>
    </xf>
    <xf numFmtId="2" fontId="36" fillId="0" borderId="15" xfId="0" applyNumberFormat="1" applyFont="1" applyBorder="1" applyProtection="1">
      <protection hidden="1"/>
    </xf>
    <xf numFmtId="0" fontId="6" fillId="4" borderId="21" xfId="2" applyFont="1" applyFill="1" applyBorder="1" applyAlignment="1" applyProtection="1">
      <alignment horizontal="left" indent="1"/>
      <protection hidden="1"/>
    </xf>
    <xf numFmtId="2" fontId="36" fillId="0" borderId="0" xfId="0" applyNumberFormat="1" applyFont="1" applyProtection="1">
      <protection locked="0" hidden="1"/>
    </xf>
    <xf numFmtId="49" fontId="12" fillId="6" borderId="15" xfId="0" applyNumberFormat="1" applyFont="1" applyFill="1" applyBorder="1" applyAlignment="1" applyProtection="1">
      <alignment horizontal="left"/>
      <protection locked="0" hidden="1"/>
    </xf>
    <xf numFmtId="164" fontId="12" fillId="0" borderId="20" xfId="2" applyNumberFormat="1" applyFont="1" applyBorder="1" applyAlignment="1" applyProtection="1">
      <alignment horizontal="center"/>
      <protection locked="0" hidden="1"/>
    </xf>
    <xf numFmtId="2" fontId="12" fillId="0" borderId="0" xfId="2" applyNumberFormat="1" applyFont="1" applyAlignment="1" applyProtection="1">
      <alignment horizontal="center"/>
      <protection locked="0" hidden="1"/>
    </xf>
    <xf numFmtId="2" fontId="36" fillId="0" borderId="0" xfId="0" applyNumberFormat="1" applyFont="1" applyAlignment="1" applyProtection="1">
      <alignment horizontal="center"/>
      <protection locked="0" hidden="1"/>
    </xf>
    <xf numFmtId="164" fontId="12" fillId="0" borderId="14" xfId="2" applyNumberFormat="1" applyFont="1" applyBorder="1" applyAlignment="1" applyProtection="1">
      <alignment horizontal="center"/>
      <protection hidden="1"/>
    </xf>
    <xf numFmtId="164" fontId="12" fillId="0" borderId="12" xfId="2" applyNumberFormat="1" applyFont="1" applyBorder="1" applyAlignment="1" applyProtection="1">
      <alignment horizontal="center"/>
      <protection hidden="1"/>
    </xf>
    <xf numFmtId="164" fontId="36" fillId="0" borderId="12" xfId="0" applyNumberFormat="1" applyFont="1" applyBorder="1" applyAlignment="1" applyProtection="1">
      <alignment horizontal="center"/>
      <protection hidden="1"/>
    </xf>
    <xf numFmtId="164" fontId="12" fillId="0" borderId="13" xfId="2" applyNumberFormat="1" applyFont="1" applyBorder="1" applyAlignment="1" applyProtection="1">
      <alignment horizontal="center"/>
      <protection hidden="1"/>
    </xf>
    <xf numFmtId="164" fontId="12" fillId="0" borderId="14" xfId="2" applyNumberFormat="1" applyFont="1" applyBorder="1" applyAlignment="1" applyProtection="1">
      <alignment horizontal="center"/>
      <protection locked="0" hidden="1"/>
    </xf>
    <xf numFmtId="2" fontId="12" fillId="0" borderId="12" xfId="2" applyNumberFormat="1" applyFont="1" applyBorder="1" applyAlignment="1" applyProtection="1">
      <alignment horizontal="center"/>
      <protection locked="0" hidden="1"/>
    </xf>
    <xf numFmtId="2" fontId="36" fillId="0" borderId="13" xfId="0" applyNumberFormat="1" applyFont="1" applyBorder="1" applyAlignment="1" applyProtection="1">
      <alignment horizontal="center"/>
      <protection locked="0" hidden="1"/>
    </xf>
    <xf numFmtId="2" fontId="36" fillId="0" borderId="15" xfId="0" applyNumberFormat="1" applyFont="1" applyBorder="1" applyAlignment="1" applyProtection="1">
      <alignment horizontal="center"/>
      <protection locked="0" hidden="1"/>
    </xf>
    <xf numFmtId="164" fontId="12" fillId="0" borderId="20" xfId="2" applyNumberFormat="1" applyFont="1" applyBorder="1" applyAlignment="1" applyProtection="1">
      <alignment horizontal="center"/>
      <protection hidden="1"/>
    </xf>
    <xf numFmtId="164" fontId="12" fillId="0" borderId="0" xfId="2" applyNumberFormat="1" applyFont="1" applyAlignment="1" applyProtection="1">
      <alignment horizontal="center"/>
      <protection hidden="1"/>
    </xf>
    <xf numFmtId="164" fontId="36" fillId="0" borderId="0" xfId="0" applyNumberFormat="1" applyFont="1" applyAlignment="1" applyProtection="1">
      <alignment horizontal="center"/>
      <protection hidden="1"/>
    </xf>
    <xf numFmtId="164" fontId="12" fillId="0" borderId="15" xfId="2" applyNumberFormat="1" applyFont="1" applyBorder="1" applyAlignment="1" applyProtection="1">
      <alignment horizontal="center"/>
      <protection hidden="1"/>
    </xf>
    <xf numFmtId="14" fontId="12" fillId="6" borderId="0" xfId="0" applyNumberFormat="1" applyFont="1" applyFill="1" applyAlignment="1" applyProtection="1">
      <alignment horizontal="center"/>
      <protection locked="0" hidden="1"/>
    </xf>
    <xf numFmtId="49" fontId="12" fillId="6" borderId="15" xfId="0" applyNumberFormat="1" applyFont="1" applyFill="1" applyBorder="1" applyAlignment="1" applyProtection="1">
      <alignment horizontal="center"/>
      <protection locked="0" hidden="1"/>
    </xf>
    <xf numFmtId="0" fontId="12" fillId="4" borderId="12" xfId="2" applyFont="1" applyFill="1" applyBorder="1" applyAlignment="1" applyProtection="1">
      <alignment horizontal="center"/>
      <protection locked="0" hidden="1"/>
    </xf>
    <xf numFmtId="0" fontId="12" fillId="4" borderId="0" xfId="2" applyFont="1" applyFill="1" applyAlignment="1" applyProtection="1">
      <alignment horizontal="center"/>
      <protection locked="0" hidden="1"/>
    </xf>
    <xf numFmtId="14" fontId="13" fillId="0" borderId="26" xfId="2" applyNumberFormat="1" applyFont="1" applyBorder="1" applyAlignment="1" applyProtection="1">
      <alignment horizontal="center"/>
      <protection hidden="1"/>
    </xf>
    <xf numFmtId="166" fontId="13" fillId="0" borderId="10" xfId="2" applyNumberFormat="1" applyFont="1" applyBorder="1" applyAlignment="1" applyProtection="1">
      <alignment horizontal="center"/>
      <protection locked="0" hidden="1"/>
    </xf>
    <xf numFmtId="49" fontId="13" fillId="0" borderId="10" xfId="2" applyNumberFormat="1" applyFont="1" applyBorder="1" applyAlignment="1" applyProtection="1">
      <alignment horizontal="center"/>
      <protection locked="0" hidden="1"/>
    </xf>
    <xf numFmtId="49" fontId="13" fillId="0" borderId="8" xfId="2" applyNumberFormat="1" applyFont="1" applyBorder="1" applyAlignment="1" applyProtection="1">
      <alignment horizontal="center"/>
      <protection locked="0" hidden="1"/>
    </xf>
    <xf numFmtId="164" fontId="13" fillId="0" borderId="10" xfId="2" applyNumberFormat="1" applyFont="1" applyBorder="1" applyAlignment="1" applyProtection="1">
      <alignment horizontal="center"/>
      <protection hidden="1"/>
    </xf>
    <xf numFmtId="9" fontId="13" fillId="0" borderId="10" xfId="1" quotePrefix="1" applyFont="1" applyFill="1" applyBorder="1" applyAlignment="1" applyProtection="1">
      <alignment horizontal="center"/>
      <protection hidden="1"/>
    </xf>
    <xf numFmtId="165" fontId="13" fillId="0" borderId="8" xfId="2" applyNumberFormat="1" applyFont="1" applyBorder="1" applyAlignment="1" applyProtection="1">
      <alignment horizontal="center"/>
      <protection hidden="1"/>
    </xf>
    <xf numFmtId="14" fontId="12" fillId="4" borderId="12" xfId="0" applyNumberFormat="1" applyFont="1" applyFill="1" applyBorder="1" applyAlignment="1" applyProtection="1">
      <alignment horizontal="left"/>
      <protection locked="0" hidden="1"/>
    </xf>
    <xf numFmtId="14" fontId="12" fillId="4" borderId="0" xfId="0" applyNumberFormat="1" applyFont="1" applyFill="1" applyAlignment="1" applyProtection="1">
      <alignment horizontal="left"/>
      <protection locked="0" hidden="1"/>
    </xf>
    <xf numFmtId="14" fontId="14" fillId="0" borderId="27" xfId="2" applyNumberFormat="1" applyFont="1" applyBorder="1" applyAlignment="1" applyProtection="1">
      <alignment horizontal="center"/>
      <protection locked="0" hidden="1"/>
    </xf>
    <xf numFmtId="0" fontId="14" fillId="0" borderId="3" xfId="2" applyFont="1" applyBorder="1" applyAlignment="1" applyProtection="1">
      <alignment horizontal="center"/>
      <protection locked="0" hidden="1"/>
    </xf>
    <xf numFmtId="0" fontId="14" fillId="0" borderId="5" xfId="2" applyFont="1" applyBorder="1" applyAlignment="1" applyProtection="1">
      <alignment horizontal="center"/>
      <protection locked="0" hidden="1"/>
    </xf>
    <xf numFmtId="9" fontId="14" fillId="0" borderId="4" xfId="2" applyNumberFormat="1" applyFont="1" applyBorder="1" applyAlignment="1" applyProtection="1">
      <alignment horizontal="center"/>
      <protection locked="0" hidden="1"/>
    </xf>
    <xf numFmtId="0" fontId="12" fillId="4" borderId="0" xfId="2" applyFont="1" applyFill="1" applyAlignment="1" applyProtection="1">
      <alignment horizontal="center"/>
      <protection hidden="1"/>
    </xf>
    <xf numFmtId="167" fontId="14" fillId="0" borderId="4" xfId="2" applyNumberFormat="1" applyFont="1" applyBorder="1" applyAlignment="1" applyProtection="1">
      <alignment horizontal="center"/>
      <protection locked="0" hidden="1"/>
    </xf>
    <xf numFmtId="0" fontId="33" fillId="3" borderId="10" xfId="0" applyFont="1" applyFill="1" applyBorder="1" applyAlignment="1" applyProtection="1">
      <alignment horizontal="center" vertical="top"/>
      <protection hidden="1"/>
    </xf>
    <xf numFmtId="0" fontId="33" fillId="3" borderId="8" xfId="0" applyFont="1" applyFill="1" applyBorder="1" applyAlignment="1" applyProtection="1">
      <alignment horizontal="center" vertical="top"/>
      <protection hidden="1"/>
    </xf>
    <xf numFmtId="0" fontId="5" fillId="3" borderId="3" xfId="0" applyFont="1" applyFill="1" applyBorder="1" applyAlignment="1" applyProtection="1">
      <alignment horizontal="center" vertical="center"/>
      <protection hidden="1"/>
    </xf>
    <xf numFmtId="0" fontId="5" fillId="3" borderId="4" xfId="0" applyFont="1" applyFill="1" applyBorder="1" applyAlignment="1" applyProtection="1">
      <alignment horizontal="center" vertical="center"/>
      <protection hidden="1"/>
    </xf>
    <xf numFmtId="0" fontId="5" fillId="3" borderId="5" xfId="0" applyFont="1" applyFill="1" applyBorder="1" applyAlignment="1" applyProtection="1">
      <alignment horizontal="center" vertical="center"/>
      <protection hidden="1"/>
    </xf>
    <xf numFmtId="0" fontId="5" fillId="3" borderId="6" xfId="0" applyFont="1" applyFill="1" applyBorder="1" applyAlignment="1" applyProtection="1">
      <alignment horizontal="center" vertical="center"/>
      <protection hidden="1"/>
    </xf>
    <xf numFmtId="0" fontId="5" fillId="3" borderId="7" xfId="0" applyFont="1" applyFill="1" applyBorder="1" applyAlignment="1" applyProtection="1">
      <alignment horizontal="center" vertical="center"/>
      <protection hidden="1"/>
    </xf>
  </cellXfs>
  <cellStyles count="3">
    <cellStyle name="Normal" xfId="0" builtinId="0"/>
    <cellStyle name="Normal 8" xfId="2" xr:uid="{00000000-0005-0000-0000-000001000000}"/>
    <cellStyle name="Percent" xfId="1" builtinId="5"/>
  </cellStyles>
  <dxfs count="1">
    <dxf>
      <font>
        <color rgb="FF9C0006"/>
      </font>
    </dxf>
  </dxfs>
  <tableStyles count="0" defaultTableStyle="TableStyleMedium2" defaultPivotStyle="PivotStyleLight16"/>
  <colors>
    <mruColors>
      <color rgb="FF00FF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(g)</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890583989501311"/>
          <c:y val="0.21296296296296297"/>
          <c:w val="0.83748851706036742"/>
          <c:h val="0.61425534504651236"/>
        </c:manualLayout>
      </c:layout>
      <c:barChart>
        <c:barDir val="col"/>
        <c:grouping val="clustered"/>
        <c:varyColors val="0"/>
        <c:ser>
          <c:idx val="0"/>
          <c:order val="0"/>
          <c:tx>
            <c:strRef>
              <c:f>'EchoMRI data'!$A$23</c:f>
              <c:strCache>
                <c:ptCount val="1"/>
              </c:strCache>
            </c:strRef>
          </c:tx>
          <c:spPr>
            <a:solidFill>
              <a:srgbClr val="FFC000"/>
            </a:solidFill>
            <a:ln w="15875">
              <a:solidFill>
                <a:schemeClr val="tx1">
                  <a:lumMod val="95000"/>
                  <a:lumOff val="5000"/>
                </a:schemeClr>
              </a:solidFill>
            </a:ln>
            <a:effectLst/>
          </c:spPr>
          <c:invertIfNegative val="0"/>
          <c:errBars>
            <c:errBarType val="plus"/>
            <c:errValType val="cust"/>
            <c:noEndCap val="0"/>
            <c:plus>
              <c:numRef>
                <c:f>'EchoMRI data'!$E$37:$I$37</c:f>
                <c:numCache>
                  <c:formatCode>General</c:formatCode>
                  <c:ptCount val="5"/>
                  <c:pt idx="0">
                    <c:v>0.63068839940406152</c:v>
                  </c:pt>
                  <c:pt idx="1">
                    <c:v>0.23187848957713061</c:v>
                  </c:pt>
                  <c:pt idx="2">
                    <c:v>0.72838970510297552</c:v>
                  </c:pt>
                  <c:pt idx="3">
                    <c:v>2.1526561665599481E-2</c:v>
                  </c:pt>
                  <c:pt idx="4">
                    <c:v>0.59798695040706584</c:v>
                  </c:pt>
                </c:numCache>
              </c:numRef>
            </c:plus>
            <c:minus>
              <c:numRef>
                <c:f>'EchoMRI data'!$E$37:$I$37</c:f>
                <c:numCache>
                  <c:formatCode>General</c:formatCode>
                  <c:ptCount val="5"/>
                  <c:pt idx="0">
                    <c:v>0.63068839940406152</c:v>
                  </c:pt>
                  <c:pt idx="1">
                    <c:v>0.23187848957713061</c:v>
                  </c:pt>
                  <c:pt idx="2">
                    <c:v>0.72838970510297552</c:v>
                  </c:pt>
                  <c:pt idx="3">
                    <c:v>2.1526561665599481E-2</c:v>
                  </c:pt>
                  <c:pt idx="4">
                    <c:v>0.59798695040706584</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data'!$E$36:$I$36</c:f>
              <c:numCache>
                <c:formatCode>0.00</c:formatCode>
                <c:ptCount val="5"/>
                <c:pt idx="0">
                  <c:v>25.574999999999996</c:v>
                </c:pt>
                <c:pt idx="1">
                  <c:v>1.82375</c:v>
                </c:pt>
                <c:pt idx="2">
                  <c:v>22.751250000000002</c:v>
                </c:pt>
                <c:pt idx="3">
                  <c:v>9.7500000000000003E-2</c:v>
                </c:pt>
                <c:pt idx="4">
                  <c:v>19.307499999999997</c:v>
                </c:pt>
              </c:numCache>
            </c:numRef>
          </c:val>
          <c:extLst>
            <c:ext xmlns:c16="http://schemas.microsoft.com/office/drawing/2014/chart" uri="{C3380CC4-5D6E-409C-BE32-E72D297353CC}">
              <c16:uniqueId val="{00000000-13B6-4DFD-A918-BBE45931B75B}"/>
            </c:ext>
          </c:extLst>
        </c:ser>
        <c:ser>
          <c:idx val="1"/>
          <c:order val="1"/>
          <c:tx>
            <c:strRef>
              <c:f>'EchoMRI data'!$A$40</c:f>
              <c:strCache>
                <c:ptCount val="1"/>
              </c:strCache>
            </c:strRef>
          </c:tx>
          <c:spPr>
            <a:solidFill>
              <a:srgbClr val="00FFFF"/>
            </a:solidFill>
            <a:ln w="15875">
              <a:solidFill>
                <a:schemeClr val="tx1"/>
              </a:solidFill>
            </a:ln>
            <a:effectLst/>
          </c:spPr>
          <c:invertIfNegative val="0"/>
          <c:errBars>
            <c:errBarType val="plus"/>
            <c:errValType val="cust"/>
            <c:noEndCap val="0"/>
            <c:plus>
              <c:numRef>
                <c:f>'EchoMRI data'!$E$54:$I$54</c:f>
                <c:numCache>
                  <c:formatCode>General</c:formatCode>
                  <c:ptCount val="5"/>
                  <c:pt idx="0">
                    <c:v>0</c:v>
                  </c:pt>
                  <c:pt idx="1">
                    <c:v>0</c:v>
                  </c:pt>
                  <c:pt idx="2">
                    <c:v>0</c:v>
                  </c:pt>
                  <c:pt idx="3">
                    <c:v>0</c:v>
                  </c:pt>
                  <c:pt idx="4">
                    <c:v>0</c:v>
                  </c:pt>
                </c:numCache>
              </c:numRef>
            </c:plus>
            <c:minus>
              <c:numRef>
                <c:f>'EchoMRI data'!$E$54:$I$54</c:f>
                <c:numCache>
                  <c:formatCode>General</c:formatCode>
                  <c:ptCount val="5"/>
                  <c:pt idx="0">
                    <c:v>0</c:v>
                  </c:pt>
                  <c:pt idx="1">
                    <c:v>0</c:v>
                  </c:pt>
                  <c:pt idx="2">
                    <c:v>0</c:v>
                  </c:pt>
                  <c:pt idx="3">
                    <c:v>0</c:v>
                  </c:pt>
                  <c:pt idx="4">
                    <c:v>0</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data'!$E$53:$I$53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1-13B6-4DFD-A918-BBE45931B75B}"/>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valAx>
      <c:spPr>
        <a:noFill/>
        <a:ln>
          <a:noFill/>
        </a:ln>
        <a:effectLst/>
      </c:spPr>
    </c:plotArea>
    <c:legend>
      <c:legendPos val="r"/>
      <c:layout>
        <c:manualLayout>
          <c:xMode val="edge"/>
          <c:yMode val="edge"/>
          <c:x val="0.5045740376202974"/>
          <c:y val="0.15364446631671042"/>
          <c:w val="0.37171464917413904"/>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389288295484803"/>
          <c:y val="0.21296296296296297"/>
          <c:w val="0.73748004155730529"/>
          <c:h val="0.60491510826771655"/>
        </c:manualLayout>
      </c:layout>
      <c:barChart>
        <c:barDir val="col"/>
        <c:grouping val="clustered"/>
        <c:varyColors val="0"/>
        <c:ser>
          <c:idx val="0"/>
          <c:order val="0"/>
          <c:tx>
            <c:strRef>
              <c:f>'EchoMRI data'!$A$23</c:f>
              <c:strCache>
                <c:ptCount val="1"/>
              </c:strCache>
            </c:strRef>
          </c:tx>
          <c:spPr>
            <a:solidFill>
              <a:srgbClr val="FFC000"/>
            </a:solidFill>
            <a:ln w="15875">
              <a:solidFill>
                <a:srgbClr val="000066"/>
              </a:solidFill>
            </a:ln>
            <a:effectLst/>
          </c:spPr>
          <c:invertIfNegative val="0"/>
          <c:errBars>
            <c:errBarType val="plus"/>
            <c:errValType val="cust"/>
            <c:noEndCap val="0"/>
            <c:plus>
              <c:numRef>
                <c:f>'EchoMRI data'!$J$37:$M$37</c:f>
                <c:numCache>
                  <c:formatCode>General</c:formatCode>
                  <c:ptCount val="4"/>
                  <c:pt idx="0">
                    <c:v>0.97964392473214068</c:v>
                  </c:pt>
                  <c:pt idx="1">
                    <c:v>1.180798901163385</c:v>
                  </c:pt>
                  <c:pt idx="2">
                    <c:v>7.7277875778894112E-2</c:v>
                  </c:pt>
                  <c:pt idx="3">
                    <c:v>1.1661476703086884</c:v>
                  </c:pt>
                </c:numCache>
              </c:numRef>
            </c:plus>
            <c:minus>
              <c:numRef>
                <c:f>'EchoMRI data'!$J$37:$M$37</c:f>
                <c:numCache>
                  <c:formatCode>General</c:formatCode>
                  <c:ptCount val="4"/>
                  <c:pt idx="0">
                    <c:v>0.97964392473214068</c:v>
                  </c:pt>
                  <c:pt idx="1">
                    <c:v>1.180798901163385</c:v>
                  </c:pt>
                  <c:pt idx="2">
                    <c:v>7.7277875778894112E-2</c:v>
                  </c:pt>
                  <c:pt idx="3">
                    <c:v>1.1661476703086884</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data'!$J$36:$M$36</c:f>
              <c:numCache>
                <c:formatCode>0.00</c:formatCode>
                <c:ptCount val="4"/>
                <c:pt idx="0">
                  <c:v>7.1932242802776578</c:v>
                </c:pt>
                <c:pt idx="1">
                  <c:v>88.885855829506852</c:v>
                </c:pt>
                <c:pt idx="2">
                  <c:v>0.3725347100934136</c:v>
                </c:pt>
                <c:pt idx="3">
                  <c:v>75.468448012531567</c:v>
                </c:pt>
              </c:numCache>
            </c:numRef>
          </c:val>
          <c:extLst>
            <c:ext xmlns:c16="http://schemas.microsoft.com/office/drawing/2014/chart" uri="{C3380CC4-5D6E-409C-BE32-E72D297353CC}">
              <c16:uniqueId val="{00000000-AE2B-4726-9A72-39FA69D8F9E0}"/>
            </c:ext>
          </c:extLst>
        </c:ser>
        <c:ser>
          <c:idx val="1"/>
          <c:order val="1"/>
          <c:tx>
            <c:strRef>
              <c:f>'EchoMRI data'!$A$40</c:f>
              <c:strCache>
                <c:ptCount val="1"/>
              </c:strCache>
            </c:strRef>
          </c:tx>
          <c:spPr>
            <a:solidFill>
              <a:srgbClr val="00FFFF"/>
            </a:solidFill>
            <a:ln w="15875">
              <a:solidFill>
                <a:srgbClr val="000066"/>
              </a:solidFill>
            </a:ln>
            <a:effectLst/>
          </c:spPr>
          <c:invertIfNegative val="0"/>
          <c:errBars>
            <c:errBarType val="plus"/>
            <c:errValType val="cust"/>
            <c:noEndCap val="0"/>
            <c:plus>
              <c:numRef>
                <c:f>'EchoMRI data'!$J$54:$M$54</c:f>
                <c:numCache>
                  <c:formatCode>General</c:formatCode>
                  <c:ptCount val="4"/>
                  <c:pt idx="0">
                    <c:v>0</c:v>
                  </c:pt>
                  <c:pt idx="1">
                    <c:v>0</c:v>
                  </c:pt>
                  <c:pt idx="2">
                    <c:v>0</c:v>
                  </c:pt>
                  <c:pt idx="3">
                    <c:v>0</c:v>
                  </c:pt>
                </c:numCache>
              </c:numRef>
            </c:plus>
            <c:minus>
              <c:numRef>
                <c:f>'EchoMRI data'!$J$54:$M$54</c:f>
                <c:numCache>
                  <c:formatCode>General</c:formatCode>
                  <c:ptCount val="4"/>
                  <c:pt idx="0">
                    <c:v>0</c:v>
                  </c:pt>
                  <c:pt idx="1">
                    <c:v>0</c:v>
                  </c:pt>
                  <c:pt idx="2">
                    <c:v>0</c:v>
                  </c:pt>
                  <c:pt idx="3">
                    <c:v>0</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data'!$J$53:$M$53</c:f>
              <c:numCache>
                <c:formatCode>0.00</c:formatCode>
                <c:ptCount val="4"/>
                <c:pt idx="0">
                  <c:v>0</c:v>
                </c:pt>
                <c:pt idx="1">
                  <c:v>0</c:v>
                </c:pt>
                <c:pt idx="2">
                  <c:v>0</c:v>
                </c:pt>
                <c:pt idx="3">
                  <c:v>0</c:v>
                </c:pt>
              </c:numCache>
            </c:numRef>
          </c:val>
          <c:extLst>
            <c:ext xmlns:c16="http://schemas.microsoft.com/office/drawing/2014/chart" uri="{C3380CC4-5D6E-409C-BE32-E72D297353CC}">
              <c16:uniqueId val="{00000001-AE2B-4726-9A72-39FA69D8F9E0}"/>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0" spcFirstLastPara="1" vertOverflow="ellipsis"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max val="100"/>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majorUnit val="20"/>
      </c:valAx>
      <c:spPr>
        <a:noFill/>
        <a:ln>
          <a:noFill/>
        </a:ln>
        <a:effectLst/>
      </c:spPr>
    </c:plotArea>
    <c:legend>
      <c:legendPos val="r"/>
      <c:layout>
        <c:manualLayout>
          <c:xMode val="edge"/>
          <c:yMode val="edge"/>
          <c:x val="0.50521817585301831"/>
          <c:y val="0.16232502187226594"/>
          <c:w val="0.39462416488501589"/>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6AEDB53B-A698-4CC9-96DE-22D1FFC7F8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E4C24994-3050-43DF-92A9-A3E2CA272D4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8F8AA755-04B2-4936-BC61-45F7DA44CB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1817FF17-E7D4-416C-89A1-2771526360B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7169B972-5478-4AA2-A96A-52EB415CFDB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BED52BF5-F7B4-4273-88E4-71D96FE528C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1EB44B34-E1D0-49FE-921D-5E526BB7B9C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14E2027F-64CF-49B0-A5DC-657C4BA801D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C69C34D8-D774-4F0B-8DD0-314400CCD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86260AAE-9E52-46D5-9E01-5FFA2EE9C8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EE1F55A2-DBE4-4F53-BBDC-1E0F8946730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C75B9162-FE76-4194-BCDF-7A5AF85F112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9D4BBFEB-EA18-4846-8D09-8C4FA37450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8FA7DAD1-EDAB-417F-9464-3F19E568F1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EF0B07A6-7A52-42CA-AD37-CABD6E39EB3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A1AF3E9E-1D7A-4209-BDAC-6A8970BA18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233533B8-AC56-41BE-8718-04451D96F07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FA050D54-2E55-4468-A278-89DD4E7D75A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AC32FF5F-10E5-4668-86DD-A4CB8EF08D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FE5467BA-5F11-4DCB-8D52-BFB1266D11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B1E1AB0B-489B-4CBC-93D9-30C55C5DA2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2470E473-031A-491C-BE5F-BE3DD68FFE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B3888E60-3970-42E1-B4F1-0DE7BAD19F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FF86B8C6-6258-48EF-9E0F-96AD56997DD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8983199A-B2C6-42B8-8BA3-EB51294573B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D0EFA99B-1BA0-4546-9FC7-BBAC8E37FF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47324127-F373-48B7-95B5-E355A4F38E6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2C2E88C9-22CD-49E3-B79F-D8F1CCED649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8CDF0517-5B6A-419F-8DC0-C83326B7D06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840F8C6C-DAAC-403E-BA4B-FCE98A2BB8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590EB2E3-6D7F-4C43-B83A-CC369A90124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D2E84CD2-DA8E-46DB-A2C4-3BA5A7A730D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43A8D57D-8C9C-43A9-B5A4-E00A76FA10C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75D31055-8072-40FE-8C38-DC3140A799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FF336F45-A2A2-460F-8D2C-FEB2C466DD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6F794ED-2589-4441-A605-24A3EFC73B1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C4E08FF7-F5F9-4494-B12E-12B8C75255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ED61E7F5-6151-4385-93DD-5FB7B2A740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268A04AB-2325-4C56-831D-A9F26A6D34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4C42DE2D-AFCC-49B3-9C91-892823CAEF3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FD9323A3-5D3A-45C4-9729-3BBD91DC4A8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677C9A27-6539-4025-82AE-BAF61B4184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CC7767D2-FD78-40BD-A0B3-8C8E869C09D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894FF1CC-0F0D-4178-83ED-D7B44BD7671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1D6BDDF-4803-4CA4-BE19-5205C81321F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3442E13D-5E1C-4BDA-91F5-68AB4894A3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11A7F2E6-81E3-4B10-9FBF-50BA360CF2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FAEF0915-F5E7-45FE-8A5F-E5C5C8D3731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48C73C12-053B-4D91-BE4D-5E25E642BA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82EC3A6F-C35A-4F33-AD50-FA1E930F547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FFFFEF5F-0A29-45ED-A09B-147252727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F269A65F-3A40-478C-87C7-B38FC5B7B36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92DD8CCD-A829-4AC7-9C29-7C77D95BB8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3A5E28D6-FFC3-4907-A5AA-C81231EE8C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CF15A8EB-E4DD-42E3-B3B0-6CD240A9AFD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A3FFC9F5-48F0-492B-A02A-24BDE5AEBB1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F2EBF767-B387-458C-BB59-D703C650A51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7DEECF40-E7B0-4472-8393-C1D38783D2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A947FDD3-2C43-4105-8308-06BEF99EC74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AD5A31E2-161B-4262-AD0D-3A409C7668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5C50502A-A968-4BE0-9BF7-EF556F10EE4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349807DD-C601-499C-8FE4-89936F0724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6" name="TextBox 65">
          <a:extLst>
            <a:ext uri="{FF2B5EF4-FFF2-40B4-BE49-F238E27FC236}">
              <a16:creationId xmlns:a16="http://schemas.microsoft.com/office/drawing/2014/main" id="{53D8020C-895B-4F2E-A3A9-BD1FD31EFF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7" name="TextBox 66">
          <a:extLst>
            <a:ext uri="{FF2B5EF4-FFF2-40B4-BE49-F238E27FC236}">
              <a16:creationId xmlns:a16="http://schemas.microsoft.com/office/drawing/2014/main" id="{71BD9911-3734-42D8-921B-D37AF88E26D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8" name="TextBox 67">
          <a:extLst>
            <a:ext uri="{FF2B5EF4-FFF2-40B4-BE49-F238E27FC236}">
              <a16:creationId xmlns:a16="http://schemas.microsoft.com/office/drawing/2014/main" id="{D94FBB90-0D2D-4601-AB32-51A5C18E1D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9" name="TextBox 68">
          <a:extLst>
            <a:ext uri="{FF2B5EF4-FFF2-40B4-BE49-F238E27FC236}">
              <a16:creationId xmlns:a16="http://schemas.microsoft.com/office/drawing/2014/main" id="{CC6C042E-74D4-4B47-A4D0-E607B00214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0" name="TextBox 69">
          <a:extLst>
            <a:ext uri="{FF2B5EF4-FFF2-40B4-BE49-F238E27FC236}">
              <a16:creationId xmlns:a16="http://schemas.microsoft.com/office/drawing/2014/main" id="{2289F61C-8AE5-4E8B-961A-D20ECB907F8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1" name="TextBox 70">
          <a:extLst>
            <a:ext uri="{FF2B5EF4-FFF2-40B4-BE49-F238E27FC236}">
              <a16:creationId xmlns:a16="http://schemas.microsoft.com/office/drawing/2014/main" id="{D36B8EA7-011A-44B6-9425-6DB7F204270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2" name="TextBox 71">
          <a:extLst>
            <a:ext uri="{FF2B5EF4-FFF2-40B4-BE49-F238E27FC236}">
              <a16:creationId xmlns:a16="http://schemas.microsoft.com/office/drawing/2014/main" id="{E0E850F0-A72B-45B4-B21C-1F46ACA7FCE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61395A71-45ED-412F-847F-B232FD10C97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12563F30-B0D1-4BA7-A73D-C78B63C13D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F768DD81-CA91-4254-A3D7-E3387DFD74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6" name="TextBox 75">
          <a:extLst>
            <a:ext uri="{FF2B5EF4-FFF2-40B4-BE49-F238E27FC236}">
              <a16:creationId xmlns:a16="http://schemas.microsoft.com/office/drawing/2014/main" id="{54119060-53F7-4662-B31C-7E89F77B5F7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7" name="TextBox 76">
          <a:extLst>
            <a:ext uri="{FF2B5EF4-FFF2-40B4-BE49-F238E27FC236}">
              <a16:creationId xmlns:a16="http://schemas.microsoft.com/office/drawing/2014/main" id="{80FC630B-1018-465D-89DA-250422FDB87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EF50B0ED-5958-4C03-8DB6-5018147710B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9" name="TextBox 78">
          <a:extLst>
            <a:ext uri="{FF2B5EF4-FFF2-40B4-BE49-F238E27FC236}">
              <a16:creationId xmlns:a16="http://schemas.microsoft.com/office/drawing/2014/main" id="{DDE3A6E5-429A-4291-9461-6914551C90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0" name="TextBox 79">
          <a:extLst>
            <a:ext uri="{FF2B5EF4-FFF2-40B4-BE49-F238E27FC236}">
              <a16:creationId xmlns:a16="http://schemas.microsoft.com/office/drawing/2014/main" id="{DCF46511-F51C-42BF-A9E5-CD132B4F40F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977D6A22-41FD-4144-A421-D401AB64F1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2" name="TextBox 81">
          <a:extLst>
            <a:ext uri="{FF2B5EF4-FFF2-40B4-BE49-F238E27FC236}">
              <a16:creationId xmlns:a16="http://schemas.microsoft.com/office/drawing/2014/main" id="{77497549-F2A4-4354-A61E-0EEE878F2C1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3" name="TextBox 82">
          <a:extLst>
            <a:ext uri="{FF2B5EF4-FFF2-40B4-BE49-F238E27FC236}">
              <a16:creationId xmlns:a16="http://schemas.microsoft.com/office/drawing/2014/main" id="{1C83AFD3-633F-44AE-B5B2-E4C2D0248B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5EE5662B-127F-44F3-B656-D147E0E059C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5" name="TextBox 84">
          <a:extLst>
            <a:ext uri="{FF2B5EF4-FFF2-40B4-BE49-F238E27FC236}">
              <a16:creationId xmlns:a16="http://schemas.microsoft.com/office/drawing/2014/main" id="{A88D2365-A581-4073-95F5-EED37345A43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6" name="TextBox 85">
          <a:extLst>
            <a:ext uri="{FF2B5EF4-FFF2-40B4-BE49-F238E27FC236}">
              <a16:creationId xmlns:a16="http://schemas.microsoft.com/office/drawing/2014/main" id="{795B4684-7281-42F1-A5AC-9E0DCB56E9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EF662DD4-BEC1-4549-9AA8-6CCB03FCDD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8" name="TextBox 87">
          <a:extLst>
            <a:ext uri="{FF2B5EF4-FFF2-40B4-BE49-F238E27FC236}">
              <a16:creationId xmlns:a16="http://schemas.microsoft.com/office/drawing/2014/main" id="{8C0CD6B5-4495-472B-AB4E-E782FC4B54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9" name="TextBox 88">
          <a:extLst>
            <a:ext uri="{FF2B5EF4-FFF2-40B4-BE49-F238E27FC236}">
              <a16:creationId xmlns:a16="http://schemas.microsoft.com/office/drawing/2014/main" id="{2EB76EA2-8193-4D13-9E52-B712728AB11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1AF77749-1F75-48FC-A3EC-9349595C30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1" name="TextBox 90">
          <a:extLst>
            <a:ext uri="{FF2B5EF4-FFF2-40B4-BE49-F238E27FC236}">
              <a16:creationId xmlns:a16="http://schemas.microsoft.com/office/drawing/2014/main" id="{965BE6A4-D545-4A90-B924-53E3080CCEC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2" name="TextBox 91">
          <a:extLst>
            <a:ext uri="{FF2B5EF4-FFF2-40B4-BE49-F238E27FC236}">
              <a16:creationId xmlns:a16="http://schemas.microsoft.com/office/drawing/2014/main" id="{7BA774F7-83CE-4FA7-A10E-F9F722E959B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7ACBD0EF-33D2-454E-9B49-60F0298990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4" name="TextBox 93">
          <a:extLst>
            <a:ext uri="{FF2B5EF4-FFF2-40B4-BE49-F238E27FC236}">
              <a16:creationId xmlns:a16="http://schemas.microsoft.com/office/drawing/2014/main" id="{FACC7689-03F8-4DD8-9054-7C2CB2FAF1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34F78D71-846A-4292-9497-0FFD91D382D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5777180B-0D8A-4852-ACB4-ECB06BA59B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4B1CF6CA-CF7C-4BBA-A0C6-BBECB79EFBE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7701F657-8A67-49E7-B2DF-46F34D8C288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9" name="TextBox 98">
          <a:extLst>
            <a:ext uri="{FF2B5EF4-FFF2-40B4-BE49-F238E27FC236}">
              <a16:creationId xmlns:a16="http://schemas.microsoft.com/office/drawing/2014/main" id="{2741CEAF-F3E9-4E8D-896F-837CFCB72E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0" name="TextBox 99">
          <a:extLst>
            <a:ext uri="{FF2B5EF4-FFF2-40B4-BE49-F238E27FC236}">
              <a16:creationId xmlns:a16="http://schemas.microsoft.com/office/drawing/2014/main" id="{51857160-99DE-459D-825A-778D6BE356F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1" name="TextBox 100">
          <a:extLst>
            <a:ext uri="{FF2B5EF4-FFF2-40B4-BE49-F238E27FC236}">
              <a16:creationId xmlns:a16="http://schemas.microsoft.com/office/drawing/2014/main" id="{FF9682EA-E66A-45C4-8FBD-461B1088E78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EB969072-3653-4374-B9E4-CF66576FD6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3" name="TextBox 102">
          <a:extLst>
            <a:ext uri="{FF2B5EF4-FFF2-40B4-BE49-F238E27FC236}">
              <a16:creationId xmlns:a16="http://schemas.microsoft.com/office/drawing/2014/main" id="{4EB62B39-2326-4227-8FE3-2B4FCA42C3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4" name="TextBox 103">
          <a:extLst>
            <a:ext uri="{FF2B5EF4-FFF2-40B4-BE49-F238E27FC236}">
              <a16:creationId xmlns:a16="http://schemas.microsoft.com/office/drawing/2014/main" id="{AF23B180-8379-4488-B930-EAEE75AE613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5" name="TextBox 104">
          <a:extLst>
            <a:ext uri="{FF2B5EF4-FFF2-40B4-BE49-F238E27FC236}">
              <a16:creationId xmlns:a16="http://schemas.microsoft.com/office/drawing/2014/main" id="{8580F324-CF6C-4113-BA60-92244A7C48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E08DC843-C552-4D8F-BC68-BCB9D5C9A50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DD76880A-65D8-4F1E-951C-89AB4322CDD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9185DDD9-E4E0-4C16-AF62-E1FC611F42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302A2789-F59B-4F22-AF82-661341A83AD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C077E03D-4AE8-41CC-A313-45CF64B822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CE1BB658-5C46-4239-8558-2B0C646E9A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B94CE40E-18C4-4E6E-8820-83A79B18816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EC041032-BF78-4DB8-A3BC-3EA2EF6A0B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715D0B74-5039-4442-905F-011A4122508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D230C08A-5566-4BB1-ADC1-C368A177298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E114B2E5-DC52-40B7-9616-BD632B466D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E612188-0D28-41C1-A509-9BBE0E9C87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28E9734A-715F-47F0-9A1C-0D73EBE5958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8FE9BBD9-BFD6-4697-B73E-B9E1EC2857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D1C27BFE-F9FE-44F3-A603-14B8AA43B63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1" name="TextBox 120">
          <a:extLst>
            <a:ext uri="{FF2B5EF4-FFF2-40B4-BE49-F238E27FC236}">
              <a16:creationId xmlns:a16="http://schemas.microsoft.com/office/drawing/2014/main" id="{5A9056B8-EEE0-436A-BBBD-BBBBEEDE4ED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2" name="TextBox 121">
          <a:extLst>
            <a:ext uri="{FF2B5EF4-FFF2-40B4-BE49-F238E27FC236}">
              <a16:creationId xmlns:a16="http://schemas.microsoft.com/office/drawing/2014/main" id="{2F39B5F7-19B8-47A9-9EEC-DF672169C2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3" name="TextBox 122">
          <a:extLst>
            <a:ext uri="{FF2B5EF4-FFF2-40B4-BE49-F238E27FC236}">
              <a16:creationId xmlns:a16="http://schemas.microsoft.com/office/drawing/2014/main" id="{0AFB2392-B44F-48A5-8B71-EB02E91A51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6A522B2C-891D-4494-A47A-83B06DAE673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5" name="TextBox 124">
          <a:extLst>
            <a:ext uri="{FF2B5EF4-FFF2-40B4-BE49-F238E27FC236}">
              <a16:creationId xmlns:a16="http://schemas.microsoft.com/office/drawing/2014/main" id="{326D8AA9-405B-4AFC-9F33-DD6216A8AD9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6" name="TextBox 125">
          <a:extLst>
            <a:ext uri="{FF2B5EF4-FFF2-40B4-BE49-F238E27FC236}">
              <a16:creationId xmlns:a16="http://schemas.microsoft.com/office/drawing/2014/main" id="{01D6EC6C-EA26-4757-AD0C-BBB4E532D1D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C587E503-5E58-40DF-B15F-3AAAE46A45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8" name="TextBox 127">
          <a:extLst>
            <a:ext uri="{FF2B5EF4-FFF2-40B4-BE49-F238E27FC236}">
              <a16:creationId xmlns:a16="http://schemas.microsoft.com/office/drawing/2014/main" id="{9CAA0F89-9E28-4F79-B94E-35AAC59E345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9" name="TextBox 128">
          <a:extLst>
            <a:ext uri="{FF2B5EF4-FFF2-40B4-BE49-F238E27FC236}">
              <a16:creationId xmlns:a16="http://schemas.microsoft.com/office/drawing/2014/main" id="{43C1C756-D9E4-407A-A76D-F21D4D8DB9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ABA80885-E6C9-4731-8DF3-6B5EAC01320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1" name="TextBox 130">
          <a:extLst>
            <a:ext uri="{FF2B5EF4-FFF2-40B4-BE49-F238E27FC236}">
              <a16:creationId xmlns:a16="http://schemas.microsoft.com/office/drawing/2014/main" id="{35FD77F9-67F5-47BF-A9C7-E220357CD87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2" name="TextBox 131">
          <a:extLst>
            <a:ext uri="{FF2B5EF4-FFF2-40B4-BE49-F238E27FC236}">
              <a16:creationId xmlns:a16="http://schemas.microsoft.com/office/drawing/2014/main" id="{91D40FF7-8853-4D9B-91F6-80164985ED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B71A38A4-C273-4822-B877-DE14322CCE9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4" name="TextBox 133">
          <a:extLst>
            <a:ext uri="{FF2B5EF4-FFF2-40B4-BE49-F238E27FC236}">
              <a16:creationId xmlns:a16="http://schemas.microsoft.com/office/drawing/2014/main" id="{E3E76E58-A7A1-49FD-8B81-7C7D19B92C4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5" name="TextBox 134">
          <a:extLst>
            <a:ext uri="{FF2B5EF4-FFF2-40B4-BE49-F238E27FC236}">
              <a16:creationId xmlns:a16="http://schemas.microsoft.com/office/drawing/2014/main" id="{BE61F216-54A2-49DB-A9C7-EA6929D112B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6" name="TextBox 135">
          <a:extLst>
            <a:ext uri="{FF2B5EF4-FFF2-40B4-BE49-F238E27FC236}">
              <a16:creationId xmlns:a16="http://schemas.microsoft.com/office/drawing/2014/main" id="{986D071D-CFD4-4EDC-AC1B-EF698518C4A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C41CB5AC-FA7C-44C3-AF2E-91643126CCA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8" name="TextBox 137">
          <a:extLst>
            <a:ext uri="{FF2B5EF4-FFF2-40B4-BE49-F238E27FC236}">
              <a16:creationId xmlns:a16="http://schemas.microsoft.com/office/drawing/2014/main" id="{920C5324-BA0D-47B0-9C3C-BB4D203855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784DA0B5-2EA9-483B-8A00-F64AE946B45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5" name="TextBox 154">
          <a:extLst>
            <a:ext uri="{FF2B5EF4-FFF2-40B4-BE49-F238E27FC236}">
              <a16:creationId xmlns:a16="http://schemas.microsoft.com/office/drawing/2014/main" id="{7079FA02-32BF-4CAF-B6F6-1C3CF82B254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6" name="TextBox 155">
          <a:extLst>
            <a:ext uri="{FF2B5EF4-FFF2-40B4-BE49-F238E27FC236}">
              <a16:creationId xmlns:a16="http://schemas.microsoft.com/office/drawing/2014/main" id="{9D224258-BCFE-44A2-A175-FE9BB76BF6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7" name="TextBox 156">
          <a:extLst>
            <a:ext uri="{FF2B5EF4-FFF2-40B4-BE49-F238E27FC236}">
              <a16:creationId xmlns:a16="http://schemas.microsoft.com/office/drawing/2014/main" id="{D836E567-E23D-4783-B80B-1217CC10BA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29C16388-9551-4963-BFB9-0BB99BC9E5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EABF5341-EE4A-48C4-BA29-2290665A14D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61391E69-0AF3-4FF2-822D-DD506D28039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327EBF94-90A6-4379-8954-6F3323F6155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2" name="TextBox 161">
          <a:extLst>
            <a:ext uri="{FF2B5EF4-FFF2-40B4-BE49-F238E27FC236}">
              <a16:creationId xmlns:a16="http://schemas.microsoft.com/office/drawing/2014/main" id="{D01E558B-925F-4EA7-980A-A4A550B9606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661748B5-EAEA-4E0C-94EB-6434255DF7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4" name="TextBox 163">
          <a:extLst>
            <a:ext uri="{FF2B5EF4-FFF2-40B4-BE49-F238E27FC236}">
              <a16:creationId xmlns:a16="http://schemas.microsoft.com/office/drawing/2014/main" id="{5F6D2891-48B8-4397-A880-8F9E03F83F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5" name="TextBox 164">
          <a:extLst>
            <a:ext uri="{FF2B5EF4-FFF2-40B4-BE49-F238E27FC236}">
              <a16:creationId xmlns:a16="http://schemas.microsoft.com/office/drawing/2014/main" id="{97118455-BC2A-4E48-B159-CD1D5AFD54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6" name="TextBox 165">
          <a:extLst>
            <a:ext uri="{FF2B5EF4-FFF2-40B4-BE49-F238E27FC236}">
              <a16:creationId xmlns:a16="http://schemas.microsoft.com/office/drawing/2014/main" id="{B82008F3-5D00-403E-9E34-D3658F7F346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E1ED3B72-736E-4315-9D15-156CF1ECA3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3ECEF107-FAB2-489B-9DC5-DB51010A8FA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B667AC50-A4C1-4101-8F9A-D5041358BD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28F7B56E-4FB5-4201-9E9E-63670CC928F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F45608DB-9421-4C7E-84B7-9F2F73E2A7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32AE6ABB-538D-4F90-B42B-27D2AC10D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FA687162-F4F3-466E-B926-D3B9F12338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4E98FD4F-34BD-436F-A89C-D7B738749B7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8E59926A-7326-4D23-989D-6D55D4EE4B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A4F41B85-83F2-451E-A428-259EFC40D47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4850FA6E-B706-438A-A5B1-9653D25B846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DF1E7E97-AA73-4577-92BC-6EF960C82CF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CED5942A-EB69-4BBD-9C59-9B7315E0B5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F24168C1-A28D-41D8-8349-DC4DDBB8E33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1509CE88-5E52-421D-AD17-8FA4398DDBB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A937D1B8-8AD8-4214-8B92-485F0A0D5AB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53A255A6-2F85-44EC-8F3B-6C0E2640104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A9C570F9-A0BE-44E3-B44C-E46295BE534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CDD0FF04-489D-49C0-8E5D-302FF2B8B2F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6EB363A5-5CAB-42F9-BC14-BBFE430416F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61D95DF2-61EC-4EEA-9E0E-25F1EC1B46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C09D1FDD-A1CF-4022-A679-2A3083A6CF4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F425445C-5FB1-48BC-9F4D-31AE1115AD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33322AFD-6849-44D6-8F1E-E4713EBAE4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6843799B-5E0F-47CC-BB73-A36E5663EA8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6C13ACC0-F541-47E3-A1CB-4473CBA0CEA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F2A707C2-D86E-47EC-BDFB-ED0D9BF4046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77D8CCAD-6ED6-4759-A7B8-FA2CD47A054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30525AFD-B793-46E8-B5E4-D5443F02699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980EEBD8-C8B3-4355-BC94-B72CFABE463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AE0746C8-087F-41CB-A529-B0352F5BE5C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DA8E8F9E-47CA-4C4A-B4D9-A279F60844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22ED221B-1DA2-4A72-B327-5C594D17AA1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9B33E986-33D6-47B2-8EAD-618CE26773A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5E3DBE3E-189F-4CE4-9EAF-4DDA98C9E1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2F1FF46B-FB8B-4813-B7D2-2ADE9DC1BBE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5FBD308-37A8-4E83-A784-889D72F326C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D9BAD790-65C5-4781-B2F2-FA73553B180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D244C49-2153-41DE-9D4A-258756E64C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16AB01BD-8A3E-4DFE-985C-9B2C9141854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7" name="TextBox 206">
          <a:extLst>
            <a:ext uri="{FF2B5EF4-FFF2-40B4-BE49-F238E27FC236}">
              <a16:creationId xmlns:a16="http://schemas.microsoft.com/office/drawing/2014/main" id="{DCC93CF3-D259-4C6B-8689-7A4E700A836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8" name="TextBox 207">
          <a:extLst>
            <a:ext uri="{FF2B5EF4-FFF2-40B4-BE49-F238E27FC236}">
              <a16:creationId xmlns:a16="http://schemas.microsoft.com/office/drawing/2014/main" id="{D56A22C4-ADB2-4736-8E6C-4044A9622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9" name="TextBox 208">
          <a:extLst>
            <a:ext uri="{FF2B5EF4-FFF2-40B4-BE49-F238E27FC236}">
              <a16:creationId xmlns:a16="http://schemas.microsoft.com/office/drawing/2014/main" id="{614058AD-E724-41C6-9D0C-0A8236CEC42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0" name="TextBox 209">
          <a:extLst>
            <a:ext uri="{FF2B5EF4-FFF2-40B4-BE49-F238E27FC236}">
              <a16:creationId xmlns:a16="http://schemas.microsoft.com/office/drawing/2014/main" id="{7DE36F7C-6AB6-467B-AFD0-5B478BC39E2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1" name="TextBox 210">
          <a:extLst>
            <a:ext uri="{FF2B5EF4-FFF2-40B4-BE49-F238E27FC236}">
              <a16:creationId xmlns:a16="http://schemas.microsoft.com/office/drawing/2014/main" id="{5035FF0B-123A-4D2D-A511-DFC12AF289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2" name="TextBox 211">
          <a:extLst>
            <a:ext uri="{FF2B5EF4-FFF2-40B4-BE49-F238E27FC236}">
              <a16:creationId xmlns:a16="http://schemas.microsoft.com/office/drawing/2014/main" id="{0E364376-6888-49CD-A7C9-154EBFCBFC3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3" name="TextBox 212">
          <a:extLst>
            <a:ext uri="{FF2B5EF4-FFF2-40B4-BE49-F238E27FC236}">
              <a16:creationId xmlns:a16="http://schemas.microsoft.com/office/drawing/2014/main" id="{B8E6B810-98CB-40A4-875F-CE1B3DD9E3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4" name="TextBox 213">
          <a:extLst>
            <a:ext uri="{FF2B5EF4-FFF2-40B4-BE49-F238E27FC236}">
              <a16:creationId xmlns:a16="http://schemas.microsoft.com/office/drawing/2014/main" id="{7D04D517-99D7-4044-A21A-E9D75EA9FB7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5" name="TextBox 214">
          <a:extLst>
            <a:ext uri="{FF2B5EF4-FFF2-40B4-BE49-F238E27FC236}">
              <a16:creationId xmlns:a16="http://schemas.microsoft.com/office/drawing/2014/main" id="{0905990B-7780-43FD-AF4B-478F1ACBA4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14</xdr:col>
      <xdr:colOff>647697</xdr:colOff>
      <xdr:row>17</xdr:row>
      <xdr:rowOff>209550</xdr:rowOff>
    </xdr:from>
    <xdr:to>
      <xdr:col>20</xdr:col>
      <xdr:colOff>190497</xdr:colOff>
      <xdr:row>35</xdr:row>
      <xdr:rowOff>40005</xdr:rowOff>
    </xdr:to>
    <xdr:graphicFrame macro="">
      <xdr:nvGraphicFramePr>
        <xdr:cNvPr id="216" name="Chart 215">
          <a:extLst>
            <a:ext uri="{FF2B5EF4-FFF2-40B4-BE49-F238E27FC236}">
              <a16:creationId xmlns:a16="http://schemas.microsoft.com/office/drawing/2014/main" id="{6089EECF-AFDC-4196-BC45-C42B1D32A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657225</xdr:colOff>
      <xdr:row>36</xdr:row>
      <xdr:rowOff>123825</xdr:rowOff>
    </xdr:from>
    <xdr:to>
      <xdr:col>20</xdr:col>
      <xdr:colOff>200025</xdr:colOff>
      <xdr:row>54</xdr:row>
      <xdr:rowOff>135255</xdr:rowOff>
    </xdr:to>
    <xdr:graphicFrame macro="">
      <xdr:nvGraphicFramePr>
        <xdr:cNvPr id="217" name="Chart 216">
          <a:extLst>
            <a:ext uri="{FF2B5EF4-FFF2-40B4-BE49-F238E27FC236}">
              <a16:creationId xmlns:a16="http://schemas.microsoft.com/office/drawing/2014/main" id="{29D0E8A3-48C0-4B81-BAA0-13310BBF1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18</xdr:col>
      <xdr:colOff>575095</xdr:colOff>
      <xdr:row>1</xdr:row>
      <xdr:rowOff>0</xdr:rowOff>
    </xdr:from>
    <xdr:ext cx="184731" cy="264560"/>
    <xdr:sp macro="" textlink="">
      <xdr:nvSpPr>
        <xdr:cNvPr id="218" name="TextBox 217">
          <a:extLst>
            <a:ext uri="{FF2B5EF4-FFF2-40B4-BE49-F238E27FC236}">
              <a16:creationId xmlns:a16="http://schemas.microsoft.com/office/drawing/2014/main" id="{B7CA749A-B4C3-47CD-85F3-DE2F7B946BA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9" name="TextBox 218">
          <a:extLst>
            <a:ext uri="{FF2B5EF4-FFF2-40B4-BE49-F238E27FC236}">
              <a16:creationId xmlns:a16="http://schemas.microsoft.com/office/drawing/2014/main" id="{7952BFD3-BF1D-4947-83E8-4D34069CFB9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0" name="TextBox 219">
          <a:extLst>
            <a:ext uri="{FF2B5EF4-FFF2-40B4-BE49-F238E27FC236}">
              <a16:creationId xmlns:a16="http://schemas.microsoft.com/office/drawing/2014/main" id="{D6E661DB-1E6A-4720-BE5B-89025062FEB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1" name="TextBox 220">
          <a:extLst>
            <a:ext uri="{FF2B5EF4-FFF2-40B4-BE49-F238E27FC236}">
              <a16:creationId xmlns:a16="http://schemas.microsoft.com/office/drawing/2014/main" id="{A77CDE47-6DC1-49F8-8AEA-6229F02FE08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2" name="TextBox 221">
          <a:extLst>
            <a:ext uri="{FF2B5EF4-FFF2-40B4-BE49-F238E27FC236}">
              <a16:creationId xmlns:a16="http://schemas.microsoft.com/office/drawing/2014/main" id="{2E16C313-E927-4AE5-8092-7906B9B1495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3" name="TextBox 222">
          <a:extLst>
            <a:ext uri="{FF2B5EF4-FFF2-40B4-BE49-F238E27FC236}">
              <a16:creationId xmlns:a16="http://schemas.microsoft.com/office/drawing/2014/main" id="{AB6A5C47-AD7F-4BAD-967A-DFE337A4806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4" name="TextBox 223">
          <a:extLst>
            <a:ext uri="{FF2B5EF4-FFF2-40B4-BE49-F238E27FC236}">
              <a16:creationId xmlns:a16="http://schemas.microsoft.com/office/drawing/2014/main" id="{64C3EBD7-0447-4E1A-9094-C59340237A0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5" name="TextBox 224">
          <a:extLst>
            <a:ext uri="{FF2B5EF4-FFF2-40B4-BE49-F238E27FC236}">
              <a16:creationId xmlns:a16="http://schemas.microsoft.com/office/drawing/2014/main" id="{C1B6082E-C7F9-446F-BDFF-17A40AADE0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6" name="TextBox 225">
          <a:extLst>
            <a:ext uri="{FF2B5EF4-FFF2-40B4-BE49-F238E27FC236}">
              <a16:creationId xmlns:a16="http://schemas.microsoft.com/office/drawing/2014/main" id="{028E8E7C-F74A-4E81-9A35-BFECD3682C8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7" name="TextBox 226">
          <a:extLst>
            <a:ext uri="{FF2B5EF4-FFF2-40B4-BE49-F238E27FC236}">
              <a16:creationId xmlns:a16="http://schemas.microsoft.com/office/drawing/2014/main" id="{4CFF35B5-C615-4B97-AE34-03818F52A82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8" name="TextBox 227">
          <a:extLst>
            <a:ext uri="{FF2B5EF4-FFF2-40B4-BE49-F238E27FC236}">
              <a16:creationId xmlns:a16="http://schemas.microsoft.com/office/drawing/2014/main" id="{66A30282-B392-4136-8C92-5A6161EF873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9" name="TextBox 228">
          <a:extLst>
            <a:ext uri="{FF2B5EF4-FFF2-40B4-BE49-F238E27FC236}">
              <a16:creationId xmlns:a16="http://schemas.microsoft.com/office/drawing/2014/main" id="{3490DB3B-4C02-4A05-9C2B-20ABA04EE83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0" name="TextBox 229">
          <a:extLst>
            <a:ext uri="{FF2B5EF4-FFF2-40B4-BE49-F238E27FC236}">
              <a16:creationId xmlns:a16="http://schemas.microsoft.com/office/drawing/2014/main" id="{E4E53C5F-166B-43E3-9CA0-DB2E0B9B10D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1" name="TextBox 230">
          <a:extLst>
            <a:ext uri="{FF2B5EF4-FFF2-40B4-BE49-F238E27FC236}">
              <a16:creationId xmlns:a16="http://schemas.microsoft.com/office/drawing/2014/main" id="{96B03F9C-3A77-4891-AD43-BFA11DC9FFD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2" name="TextBox 231">
          <a:extLst>
            <a:ext uri="{FF2B5EF4-FFF2-40B4-BE49-F238E27FC236}">
              <a16:creationId xmlns:a16="http://schemas.microsoft.com/office/drawing/2014/main" id="{15F2EA0F-8180-4EA2-9E6D-B739F596721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3" name="TextBox 232">
          <a:extLst>
            <a:ext uri="{FF2B5EF4-FFF2-40B4-BE49-F238E27FC236}">
              <a16:creationId xmlns:a16="http://schemas.microsoft.com/office/drawing/2014/main" id="{1DAD5BD0-CEF2-4F79-A183-4BD6AAA0CA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4" name="TextBox 233">
          <a:extLst>
            <a:ext uri="{FF2B5EF4-FFF2-40B4-BE49-F238E27FC236}">
              <a16:creationId xmlns:a16="http://schemas.microsoft.com/office/drawing/2014/main" id="{167ACDFD-8C0F-4384-9210-8C6EEB751C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5" name="TextBox 234">
          <a:extLst>
            <a:ext uri="{FF2B5EF4-FFF2-40B4-BE49-F238E27FC236}">
              <a16:creationId xmlns:a16="http://schemas.microsoft.com/office/drawing/2014/main" id="{D6B87E4B-185B-4195-A16C-7E0E8AB68ED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6" name="TextBox 235">
          <a:extLst>
            <a:ext uri="{FF2B5EF4-FFF2-40B4-BE49-F238E27FC236}">
              <a16:creationId xmlns:a16="http://schemas.microsoft.com/office/drawing/2014/main" id="{FA5CCD00-26D5-4370-87C0-42D0E2EA0A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7" name="TextBox 236">
          <a:extLst>
            <a:ext uri="{FF2B5EF4-FFF2-40B4-BE49-F238E27FC236}">
              <a16:creationId xmlns:a16="http://schemas.microsoft.com/office/drawing/2014/main" id="{1A76E6E9-24C9-4500-8583-AE102CD4695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8" name="TextBox 237">
          <a:extLst>
            <a:ext uri="{FF2B5EF4-FFF2-40B4-BE49-F238E27FC236}">
              <a16:creationId xmlns:a16="http://schemas.microsoft.com/office/drawing/2014/main" id="{43C12D63-7F72-44E0-B5B1-7741872ACEE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9" name="TextBox 238">
          <a:extLst>
            <a:ext uri="{FF2B5EF4-FFF2-40B4-BE49-F238E27FC236}">
              <a16:creationId xmlns:a16="http://schemas.microsoft.com/office/drawing/2014/main" id="{939D6C44-EC97-4CB6-93BB-B0069F5AA8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0" name="TextBox 239">
          <a:extLst>
            <a:ext uri="{FF2B5EF4-FFF2-40B4-BE49-F238E27FC236}">
              <a16:creationId xmlns:a16="http://schemas.microsoft.com/office/drawing/2014/main" id="{D9F73F29-79E2-44CB-A619-DC4121B471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1" name="TextBox 240">
          <a:extLst>
            <a:ext uri="{FF2B5EF4-FFF2-40B4-BE49-F238E27FC236}">
              <a16:creationId xmlns:a16="http://schemas.microsoft.com/office/drawing/2014/main" id="{4F886FD5-083E-4D55-9AE9-AACD5DE494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2" name="TextBox 241">
          <a:extLst>
            <a:ext uri="{FF2B5EF4-FFF2-40B4-BE49-F238E27FC236}">
              <a16:creationId xmlns:a16="http://schemas.microsoft.com/office/drawing/2014/main" id="{9889A1BD-54FB-4DAB-9810-9A374163627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3" name="TextBox 242">
          <a:extLst>
            <a:ext uri="{FF2B5EF4-FFF2-40B4-BE49-F238E27FC236}">
              <a16:creationId xmlns:a16="http://schemas.microsoft.com/office/drawing/2014/main" id="{6433CF9C-6B01-421C-A2DE-D8EC4E56F3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4" name="TextBox 243">
          <a:extLst>
            <a:ext uri="{FF2B5EF4-FFF2-40B4-BE49-F238E27FC236}">
              <a16:creationId xmlns:a16="http://schemas.microsoft.com/office/drawing/2014/main" id="{7B3047E4-51C7-4D50-BF73-48CCC9DD20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5" name="TextBox 244">
          <a:extLst>
            <a:ext uri="{FF2B5EF4-FFF2-40B4-BE49-F238E27FC236}">
              <a16:creationId xmlns:a16="http://schemas.microsoft.com/office/drawing/2014/main" id="{F82C1427-13E7-4AEE-ADF7-650285243C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6" name="TextBox 245">
          <a:extLst>
            <a:ext uri="{FF2B5EF4-FFF2-40B4-BE49-F238E27FC236}">
              <a16:creationId xmlns:a16="http://schemas.microsoft.com/office/drawing/2014/main" id="{44ED6D73-9753-4D90-A05E-FFEE7D709A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7" name="TextBox 246">
          <a:extLst>
            <a:ext uri="{FF2B5EF4-FFF2-40B4-BE49-F238E27FC236}">
              <a16:creationId xmlns:a16="http://schemas.microsoft.com/office/drawing/2014/main" id="{0BFD7BB6-D427-483A-ADA9-5D9E505A2F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8" name="TextBox 247">
          <a:extLst>
            <a:ext uri="{FF2B5EF4-FFF2-40B4-BE49-F238E27FC236}">
              <a16:creationId xmlns:a16="http://schemas.microsoft.com/office/drawing/2014/main" id="{AFD2FA70-87FC-409D-89CB-35F12C540B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9" name="TextBox 248">
          <a:extLst>
            <a:ext uri="{FF2B5EF4-FFF2-40B4-BE49-F238E27FC236}">
              <a16:creationId xmlns:a16="http://schemas.microsoft.com/office/drawing/2014/main" id="{9AEBFFA4-70F3-452A-AC57-36ABC5B4D7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0" name="TextBox 249">
          <a:extLst>
            <a:ext uri="{FF2B5EF4-FFF2-40B4-BE49-F238E27FC236}">
              <a16:creationId xmlns:a16="http://schemas.microsoft.com/office/drawing/2014/main" id="{DFB3224A-87D0-4433-92E7-A185BB6B2E3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1" name="TextBox 250">
          <a:extLst>
            <a:ext uri="{FF2B5EF4-FFF2-40B4-BE49-F238E27FC236}">
              <a16:creationId xmlns:a16="http://schemas.microsoft.com/office/drawing/2014/main" id="{4A9C46D7-31ED-4415-A6DF-04111D564E8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2" name="TextBox 251">
          <a:extLst>
            <a:ext uri="{FF2B5EF4-FFF2-40B4-BE49-F238E27FC236}">
              <a16:creationId xmlns:a16="http://schemas.microsoft.com/office/drawing/2014/main" id="{F52539CA-06D7-44D1-9D83-7B2222DC96D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3" name="TextBox 252">
          <a:extLst>
            <a:ext uri="{FF2B5EF4-FFF2-40B4-BE49-F238E27FC236}">
              <a16:creationId xmlns:a16="http://schemas.microsoft.com/office/drawing/2014/main" id="{0B074BF4-DDB4-4F7B-864D-4F385256FAE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4" name="TextBox 253">
          <a:extLst>
            <a:ext uri="{FF2B5EF4-FFF2-40B4-BE49-F238E27FC236}">
              <a16:creationId xmlns:a16="http://schemas.microsoft.com/office/drawing/2014/main" id="{E236B34A-B17E-4C1A-A48D-A1E3DC5EE6D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5" name="TextBox 254">
          <a:extLst>
            <a:ext uri="{FF2B5EF4-FFF2-40B4-BE49-F238E27FC236}">
              <a16:creationId xmlns:a16="http://schemas.microsoft.com/office/drawing/2014/main" id="{2737BC95-C73D-446B-8F14-21D0861F040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6" name="TextBox 255">
          <a:extLst>
            <a:ext uri="{FF2B5EF4-FFF2-40B4-BE49-F238E27FC236}">
              <a16:creationId xmlns:a16="http://schemas.microsoft.com/office/drawing/2014/main" id="{A5AC71DE-75EB-40F3-9262-CBAA5FBCF0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7" name="TextBox 256">
          <a:extLst>
            <a:ext uri="{FF2B5EF4-FFF2-40B4-BE49-F238E27FC236}">
              <a16:creationId xmlns:a16="http://schemas.microsoft.com/office/drawing/2014/main" id="{175C7CD6-0B67-4A3C-A6CA-E1EF0573CCF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8" name="TextBox 257">
          <a:extLst>
            <a:ext uri="{FF2B5EF4-FFF2-40B4-BE49-F238E27FC236}">
              <a16:creationId xmlns:a16="http://schemas.microsoft.com/office/drawing/2014/main" id="{50CF382F-1022-4933-8B58-C15218C17D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9" name="TextBox 258">
          <a:extLst>
            <a:ext uri="{FF2B5EF4-FFF2-40B4-BE49-F238E27FC236}">
              <a16:creationId xmlns:a16="http://schemas.microsoft.com/office/drawing/2014/main" id="{C677C385-F554-4C95-B31E-C0E1F66D200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0" name="TextBox 259">
          <a:extLst>
            <a:ext uri="{FF2B5EF4-FFF2-40B4-BE49-F238E27FC236}">
              <a16:creationId xmlns:a16="http://schemas.microsoft.com/office/drawing/2014/main" id="{B3AC15BE-2386-4ACE-89D4-96E8B7FA83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1" name="TextBox 260">
          <a:extLst>
            <a:ext uri="{FF2B5EF4-FFF2-40B4-BE49-F238E27FC236}">
              <a16:creationId xmlns:a16="http://schemas.microsoft.com/office/drawing/2014/main" id="{C0B54FDE-2D8C-4BFD-A16D-B1B4267CC7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2" name="TextBox 261">
          <a:extLst>
            <a:ext uri="{FF2B5EF4-FFF2-40B4-BE49-F238E27FC236}">
              <a16:creationId xmlns:a16="http://schemas.microsoft.com/office/drawing/2014/main" id="{9D4AF325-F9D9-4683-81F3-FB1CC219B6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3" name="TextBox 262">
          <a:extLst>
            <a:ext uri="{FF2B5EF4-FFF2-40B4-BE49-F238E27FC236}">
              <a16:creationId xmlns:a16="http://schemas.microsoft.com/office/drawing/2014/main" id="{759A34D2-ED3F-4CA5-AD2B-7D15C2F709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4" name="TextBox 263">
          <a:extLst>
            <a:ext uri="{FF2B5EF4-FFF2-40B4-BE49-F238E27FC236}">
              <a16:creationId xmlns:a16="http://schemas.microsoft.com/office/drawing/2014/main" id="{2C17A783-6DC7-40A7-A6A2-D3925D79DA3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5" name="TextBox 264">
          <a:extLst>
            <a:ext uri="{FF2B5EF4-FFF2-40B4-BE49-F238E27FC236}">
              <a16:creationId xmlns:a16="http://schemas.microsoft.com/office/drawing/2014/main" id="{1DF32BA6-1510-4626-ADF4-7C08878260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6" name="TextBox 265">
          <a:extLst>
            <a:ext uri="{FF2B5EF4-FFF2-40B4-BE49-F238E27FC236}">
              <a16:creationId xmlns:a16="http://schemas.microsoft.com/office/drawing/2014/main" id="{E4D7F795-85C1-4167-91D1-A43A187257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7" name="TextBox 266">
          <a:extLst>
            <a:ext uri="{FF2B5EF4-FFF2-40B4-BE49-F238E27FC236}">
              <a16:creationId xmlns:a16="http://schemas.microsoft.com/office/drawing/2014/main" id="{95410A24-303F-479F-AB94-D9B3005BCC3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8" name="TextBox 267">
          <a:extLst>
            <a:ext uri="{FF2B5EF4-FFF2-40B4-BE49-F238E27FC236}">
              <a16:creationId xmlns:a16="http://schemas.microsoft.com/office/drawing/2014/main" id="{5415E8D2-0493-4A20-9325-6DC6A04C6AE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9" name="TextBox 268">
          <a:extLst>
            <a:ext uri="{FF2B5EF4-FFF2-40B4-BE49-F238E27FC236}">
              <a16:creationId xmlns:a16="http://schemas.microsoft.com/office/drawing/2014/main" id="{C8958AF0-F33F-4899-8DB5-942C764730A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0" name="TextBox 269">
          <a:extLst>
            <a:ext uri="{FF2B5EF4-FFF2-40B4-BE49-F238E27FC236}">
              <a16:creationId xmlns:a16="http://schemas.microsoft.com/office/drawing/2014/main" id="{DC3D440E-D7B2-430B-9C7E-DCE611D076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1" name="TextBox 270">
          <a:extLst>
            <a:ext uri="{FF2B5EF4-FFF2-40B4-BE49-F238E27FC236}">
              <a16:creationId xmlns:a16="http://schemas.microsoft.com/office/drawing/2014/main" id="{86D1FFE0-2B45-4780-B230-69110C356F1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2" name="TextBox 271">
          <a:extLst>
            <a:ext uri="{FF2B5EF4-FFF2-40B4-BE49-F238E27FC236}">
              <a16:creationId xmlns:a16="http://schemas.microsoft.com/office/drawing/2014/main" id="{FB298893-468C-4FDF-980B-7F9B4EAB77D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3" name="TextBox 272">
          <a:extLst>
            <a:ext uri="{FF2B5EF4-FFF2-40B4-BE49-F238E27FC236}">
              <a16:creationId xmlns:a16="http://schemas.microsoft.com/office/drawing/2014/main" id="{9C5C7016-86D5-431A-94BD-6BA9D14D77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4" name="TextBox 273">
          <a:extLst>
            <a:ext uri="{FF2B5EF4-FFF2-40B4-BE49-F238E27FC236}">
              <a16:creationId xmlns:a16="http://schemas.microsoft.com/office/drawing/2014/main" id="{0739BD0A-9C2C-4197-8875-A853BC789B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5" name="TextBox 274">
          <a:extLst>
            <a:ext uri="{FF2B5EF4-FFF2-40B4-BE49-F238E27FC236}">
              <a16:creationId xmlns:a16="http://schemas.microsoft.com/office/drawing/2014/main" id="{11820833-0BB4-4904-9761-8A05C40D35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6" name="TextBox 275">
          <a:extLst>
            <a:ext uri="{FF2B5EF4-FFF2-40B4-BE49-F238E27FC236}">
              <a16:creationId xmlns:a16="http://schemas.microsoft.com/office/drawing/2014/main" id="{20B75FCE-A62E-459E-B9E0-9A3C867B94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7" name="TextBox 276">
          <a:extLst>
            <a:ext uri="{FF2B5EF4-FFF2-40B4-BE49-F238E27FC236}">
              <a16:creationId xmlns:a16="http://schemas.microsoft.com/office/drawing/2014/main" id="{7FFA1F06-CC6C-4BDA-93E1-7DB467C6C7E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8" name="TextBox 277">
          <a:extLst>
            <a:ext uri="{FF2B5EF4-FFF2-40B4-BE49-F238E27FC236}">
              <a16:creationId xmlns:a16="http://schemas.microsoft.com/office/drawing/2014/main" id="{9AFC84EB-05B1-4EDB-A71D-DA8391C141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9" name="TextBox 278">
          <a:extLst>
            <a:ext uri="{FF2B5EF4-FFF2-40B4-BE49-F238E27FC236}">
              <a16:creationId xmlns:a16="http://schemas.microsoft.com/office/drawing/2014/main" id="{68EA0B81-4FA0-43E6-ABBF-EB5E4658E25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0" name="TextBox 279">
          <a:extLst>
            <a:ext uri="{FF2B5EF4-FFF2-40B4-BE49-F238E27FC236}">
              <a16:creationId xmlns:a16="http://schemas.microsoft.com/office/drawing/2014/main" id="{DF455D91-F3EB-49E7-9986-3A3F5AA6794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1" name="TextBox 280">
          <a:extLst>
            <a:ext uri="{FF2B5EF4-FFF2-40B4-BE49-F238E27FC236}">
              <a16:creationId xmlns:a16="http://schemas.microsoft.com/office/drawing/2014/main" id="{F8BF2857-9C6D-4D55-8B21-D56E7CAA37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2" name="TextBox 281">
          <a:extLst>
            <a:ext uri="{FF2B5EF4-FFF2-40B4-BE49-F238E27FC236}">
              <a16:creationId xmlns:a16="http://schemas.microsoft.com/office/drawing/2014/main" id="{BF65B034-31D6-4675-9C7D-A4548D20EB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3" name="TextBox 282">
          <a:extLst>
            <a:ext uri="{FF2B5EF4-FFF2-40B4-BE49-F238E27FC236}">
              <a16:creationId xmlns:a16="http://schemas.microsoft.com/office/drawing/2014/main" id="{514ADB62-4BEE-4F67-AE41-9C646445C2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4" name="TextBox 283">
          <a:extLst>
            <a:ext uri="{FF2B5EF4-FFF2-40B4-BE49-F238E27FC236}">
              <a16:creationId xmlns:a16="http://schemas.microsoft.com/office/drawing/2014/main" id="{340E3925-23D2-4806-BD60-C43DCBD5C20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5" name="TextBox 284">
          <a:extLst>
            <a:ext uri="{FF2B5EF4-FFF2-40B4-BE49-F238E27FC236}">
              <a16:creationId xmlns:a16="http://schemas.microsoft.com/office/drawing/2014/main" id="{BC806092-7669-421D-A67C-9D7DA04D4BC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6" name="TextBox 285">
          <a:extLst>
            <a:ext uri="{FF2B5EF4-FFF2-40B4-BE49-F238E27FC236}">
              <a16:creationId xmlns:a16="http://schemas.microsoft.com/office/drawing/2014/main" id="{DC9EB892-3680-428C-8A12-D9D94FE32B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7" name="TextBox 286">
          <a:extLst>
            <a:ext uri="{FF2B5EF4-FFF2-40B4-BE49-F238E27FC236}">
              <a16:creationId xmlns:a16="http://schemas.microsoft.com/office/drawing/2014/main" id="{BF9980C8-2626-4FDC-A02E-A2646A2D1E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8" name="TextBox 287">
          <a:extLst>
            <a:ext uri="{FF2B5EF4-FFF2-40B4-BE49-F238E27FC236}">
              <a16:creationId xmlns:a16="http://schemas.microsoft.com/office/drawing/2014/main" id="{5CA559DC-FE99-48A5-A9ED-7881B90CCEE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9" name="TextBox 288">
          <a:extLst>
            <a:ext uri="{FF2B5EF4-FFF2-40B4-BE49-F238E27FC236}">
              <a16:creationId xmlns:a16="http://schemas.microsoft.com/office/drawing/2014/main" id="{9760E61B-B85A-4825-A008-D7CEEA83D90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0" name="TextBox 289">
          <a:extLst>
            <a:ext uri="{FF2B5EF4-FFF2-40B4-BE49-F238E27FC236}">
              <a16:creationId xmlns:a16="http://schemas.microsoft.com/office/drawing/2014/main" id="{06CF6E38-221B-426A-B9F6-F65CD050F57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6</xdr:col>
      <xdr:colOff>561974</xdr:colOff>
      <xdr:row>9</xdr:row>
      <xdr:rowOff>28575</xdr:rowOff>
    </xdr:from>
    <xdr:to>
      <xdr:col>14</xdr:col>
      <xdr:colOff>47625</xdr:colOff>
      <xdr:row>14</xdr:row>
      <xdr:rowOff>152400</xdr:rowOff>
    </xdr:to>
    <xdr:sp macro="" textlink="">
      <xdr:nvSpPr>
        <xdr:cNvPr id="292" name="TextBox 291">
          <a:extLst>
            <a:ext uri="{FF2B5EF4-FFF2-40B4-BE49-F238E27FC236}">
              <a16:creationId xmlns:a16="http://schemas.microsoft.com/office/drawing/2014/main" id="{209BEC92-53A6-49FA-AC14-7C4C54E8BF27}"/>
            </a:ext>
          </a:extLst>
        </xdr:cNvPr>
        <xdr:cNvSpPr txBox="1"/>
      </xdr:nvSpPr>
      <xdr:spPr>
        <a:xfrm>
          <a:off x="4905374" y="3571875"/>
          <a:ext cx="5086351" cy="933450"/>
        </a:xfrm>
        <a:prstGeom prst="rect">
          <a:avLst/>
        </a:prstGeom>
        <a:solidFill>
          <a:schemeClr val="accent4">
            <a:lumMod val="20000"/>
            <a:lumOff val="80000"/>
          </a:schemeClr>
        </a:solidFill>
        <a:ln w="12700" cmpd="sng">
          <a:solidFill>
            <a:schemeClr val="accent5">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0099"/>
              </a:solidFill>
            </a:rPr>
            <a:t>Experimental</a:t>
          </a:r>
          <a:r>
            <a:rPr lang="en-US" sz="1600" b="1" baseline="0">
              <a:solidFill>
                <a:srgbClr val="000099"/>
              </a:solidFill>
            </a:rPr>
            <a:t> Notes: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mn-lt"/>
              <a:ea typeface="+mn-ea"/>
              <a:cs typeface="+mn-cs"/>
            </a:rPr>
            <a:t>All mice appeared healthy during the measurement. Mice were measured the same day after transfer. </a:t>
          </a:r>
        </a:p>
        <a:p>
          <a:endParaRPr lang="en-US" sz="1600" b="1">
            <a:solidFill>
              <a:srgbClr val="000099"/>
            </a:solidFill>
          </a:endParaRPr>
        </a:p>
      </xdr:txBody>
    </xdr:sp>
    <xdr:clientData/>
  </xdr:twoCellAnchor>
  <xdr:twoCellAnchor editAs="oneCell">
    <xdr:from>
      <xdr:col>0</xdr:col>
      <xdr:colOff>0</xdr:colOff>
      <xdr:row>0</xdr:row>
      <xdr:rowOff>0</xdr:rowOff>
    </xdr:from>
    <xdr:to>
      <xdr:col>23</xdr:col>
      <xdr:colOff>0</xdr:colOff>
      <xdr:row>1</xdr:row>
      <xdr:rowOff>12095</xdr:rowOff>
    </xdr:to>
    <xdr:pic>
      <xdr:nvPicPr>
        <xdr:cNvPr id="64" name="Picture 63">
          <a:extLst>
            <a:ext uri="{FF2B5EF4-FFF2-40B4-BE49-F238E27FC236}">
              <a16:creationId xmlns:a16="http://schemas.microsoft.com/office/drawing/2014/main" id="{D60F3891-1210-45A9-AB35-93140D29FAEE}"/>
            </a:ext>
          </a:extLst>
        </xdr:cNvPr>
        <xdr:cNvPicPr>
          <a:picLocks noChangeAspect="1"/>
        </xdr:cNvPicPr>
      </xdr:nvPicPr>
      <xdr:blipFill>
        <a:blip xmlns:r="http://schemas.openxmlformats.org/officeDocument/2006/relationships" r:embed="rId3"/>
        <a:stretch>
          <a:fillRect/>
        </a:stretch>
      </xdr:blipFill>
      <xdr:spPr>
        <a:xfrm>
          <a:off x="0" y="0"/>
          <a:ext cx="16116300" cy="21742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00000000-0008-0000-0100-00002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00000000-0008-0000-0100-00003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00000000-0008-0000-0100-000038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00000000-0008-0000-0100-00003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00000000-0008-0000-0100-00003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00000000-0008-0000-0100-00003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9524</xdr:colOff>
      <xdr:row>1</xdr:row>
      <xdr:rowOff>0</xdr:rowOff>
    </xdr:from>
    <xdr:to>
      <xdr:col>22</xdr:col>
      <xdr:colOff>666749</xdr:colOff>
      <xdr:row>81</xdr:row>
      <xdr:rowOff>114300</xdr:rowOff>
    </xdr:to>
    <xdr:sp macro="" textlink="">
      <xdr:nvSpPr>
        <xdr:cNvPr id="67" name="TextBox 66">
          <a:extLst>
            <a:ext uri="{FF2B5EF4-FFF2-40B4-BE49-F238E27FC236}">
              <a16:creationId xmlns:a16="http://schemas.microsoft.com/office/drawing/2014/main" id="{00000000-0008-0000-0100-000043000000}"/>
            </a:ext>
          </a:extLst>
        </xdr:cNvPr>
        <xdr:cNvSpPr txBox="1"/>
      </xdr:nvSpPr>
      <xdr:spPr>
        <a:xfrm>
          <a:off x="9524" y="1904999"/>
          <a:ext cx="15744825" cy="13068301"/>
        </a:xfrm>
        <a:prstGeom prst="rect">
          <a:avLst/>
        </a:prstGeom>
        <a:solidFill>
          <a:schemeClr val="lt1"/>
        </a:solidFill>
        <a:ln w="25400" cmpd="sng">
          <a:solidFill>
            <a:srgbClr val="0000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1.   Body composition scan: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Body fat, lean mass, free water, and total water were measured using an NMR-based analyzer (EchoMRI, 4in1-500). The measurements took less than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2 minutes while conscious mice or rats were placed  individually in the measuring tube. The machine is daily checked using a reference sample (canola oil)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as recommended by the manufacturer.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Isolated fresh tissues or organs were measured after being warmed up and maintained at 37 </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sym typeface="Symbol" panose="05050102010706020507" pitchFamily="18" charset="2"/>
            </a:rPr>
            <a:t></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C.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2.   Q's &amp; A's: </a:t>
          </a: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do the EchoMRI™ systems measure fat, lean, free water, and total water?</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NMR instruments for composition analysis create contrast between soft tissues by taking advantage of the differences in relaxation times of the hydrogen proton spins in different environments. Radio pulses cause proton spins to precess and emit radio signals which are then received and analysed. The amplitude, duration, and spatial distribution of these signals are related to properties of the material scanned. The high contrast between fat, lean, and free water is further enhanced by application of specially composed radio pulse sequences.</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Fat, Lean, Free Water, and Total Water as measured by EchoMRI™ systems?</a:t>
          </a:r>
          <a:endParaRPr lang="en-US" sz="1800">
            <a:solidFill>
              <a:srgbClr val="000099"/>
            </a:solidFill>
            <a:effectLst/>
          </a:endParaRPr>
        </a:p>
        <a:p>
          <a:pPr fontAlgn="ctr"/>
          <a:r>
            <a:rPr lang="en-US" sz="1400" b="0" i="0">
              <a:solidFill>
                <a:schemeClr val="dk1"/>
              </a:solidFill>
              <a:effectLst/>
              <a:latin typeface="+mn-lt"/>
              <a:ea typeface="+mn-ea"/>
              <a:cs typeface="+mn-cs"/>
            </a:rPr>
            <a:t>Fat is the mass of all the fat molecules in the body expressed as equivalent weight of canola oil. Lean is a muscle tissue mass equivalent of all the body parts containing water, excluding fat, bone minerals, and such substances which do not contribute to the NMR signal, such as hair, claws, etc.</a:t>
          </a:r>
          <a:endParaRPr lang="en-US" sz="1400">
            <a:effectLst/>
          </a:endParaRPr>
        </a:p>
        <a:p>
          <a:pPr fontAlgn="ctr"/>
          <a:r>
            <a:rPr lang="en-US" sz="1400" b="0" i="0">
              <a:solidFill>
                <a:schemeClr val="dk1"/>
              </a:solidFill>
              <a:effectLst/>
              <a:latin typeface="+mn-lt"/>
              <a:ea typeface="+mn-ea"/>
              <a:cs typeface="+mn-cs"/>
            </a:rPr>
            <a:t>Contributions to Free Water come mostly from the bladder. In experiments, for a limited time, water can be detected after it is injected into abdominal cavity of an animal, until it gets absorbed.</a:t>
          </a:r>
          <a:endParaRPr lang="en-US" sz="1400">
            <a:effectLst/>
          </a:endParaRPr>
        </a:p>
        <a:p>
          <a:pPr fontAlgn="ctr"/>
          <a:r>
            <a:rPr lang="en-US" sz="1400" b="0" i="0">
              <a:solidFill>
                <a:schemeClr val="dk1"/>
              </a:solidFill>
              <a:effectLst/>
              <a:latin typeface="+mn-lt"/>
              <a:ea typeface="+mn-ea"/>
              <a:cs typeface="+mn-cs"/>
            </a:rPr>
            <a:t>Total Water includes both the Free Water and the water contained in Lean, that is all the water in the body. For normal animals, the hydration ratio (Total Water - Free Water) / Lean is typically within a few percent of 80%.</a:t>
          </a:r>
          <a:endParaRPr lang="en-US" sz="1400" b="1" i="0">
            <a:solidFill>
              <a:srgbClr val="000099"/>
            </a:solidFill>
            <a:effectLst/>
            <a:latin typeface="+mn-lt"/>
            <a:ea typeface="+mn-ea"/>
            <a:cs typeface="+mn-cs"/>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the weight of an animal compares with the sum of the measured components.</a:t>
          </a:r>
          <a:endParaRPr lang="en-US" sz="1800" b="1">
            <a:solidFill>
              <a:srgbClr val="000099"/>
            </a:solidFill>
            <a:effectLst/>
          </a:endParaRPr>
        </a:p>
        <a:p>
          <a:pPr fontAlgn="ctr"/>
          <a:r>
            <a:rPr lang="en-US" sz="1400" b="0" i="0">
              <a:solidFill>
                <a:schemeClr val="dk1"/>
              </a:solidFill>
              <a:effectLst/>
              <a:latin typeface="+mn-lt"/>
              <a:ea typeface="+mn-ea"/>
              <a:cs typeface="+mn-cs"/>
            </a:rPr>
            <a:t>The general formula is(Weight) = (Lean) + (Fat) + (Free Water) + (Undetectable substances) + (Systematic Errors)</a:t>
          </a:r>
          <a:endParaRPr lang="en-US" sz="1400">
            <a:effectLst/>
          </a:endParaRPr>
        </a:p>
        <a:p>
          <a:pPr fontAlgn="ctr"/>
          <a:r>
            <a:rPr lang="en-US" sz="1400" b="0" i="0">
              <a:solidFill>
                <a:schemeClr val="dk1"/>
              </a:solidFill>
              <a:effectLst/>
              <a:latin typeface="+mn-lt"/>
              <a:ea typeface="+mn-ea"/>
              <a:cs typeface="+mn-cs"/>
            </a:rPr>
            <a:t>where the undetectable substances such as bone mineral content, claws, hair, etc do not contribute to the NMR signal detected by the system.</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organs contribute to lean mass?</a:t>
          </a:r>
          <a:endParaRPr lang="en-US" sz="1800">
            <a:solidFill>
              <a:srgbClr val="000099"/>
            </a:solidFill>
            <a:effectLst/>
          </a:endParaRPr>
        </a:p>
        <a:p>
          <a:pPr fontAlgn="ctr"/>
          <a:r>
            <a:rPr lang="en-US" sz="1400" b="0" i="0">
              <a:solidFill>
                <a:schemeClr val="dk1"/>
              </a:solidFill>
              <a:effectLst/>
              <a:latin typeface="+mn-lt"/>
              <a:ea typeface="+mn-ea"/>
              <a:cs typeface="+mn-cs"/>
            </a:rPr>
            <a:t>All organs contribute to lean mass.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Why the sum of Fat, Lean, and Total Water is larger than the weight of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Most of the Total Water is already included in Lean and so counted twice in the sum of Fat, Lean, and Total Water.</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size of animals can be scanned?</a:t>
          </a:r>
          <a:endParaRPr lang="en-US" sz="1800">
            <a:solidFill>
              <a:srgbClr val="000099"/>
            </a:solidFill>
            <a:effectLst/>
          </a:endParaRPr>
        </a:p>
        <a:p>
          <a:pPr fontAlgn="ctr"/>
          <a:r>
            <a:rPr lang="en-US" sz="1400" b="0" i="0">
              <a:solidFill>
                <a:schemeClr val="dk1"/>
              </a:solidFill>
              <a:effectLst/>
              <a:latin typeface="+mn-lt"/>
              <a:ea typeface="+mn-ea"/>
              <a:cs typeface="+mn-cs"/>
            </a:rPr>
            <a:t>For small animals, organs and samples, our currently standard mass limits per holder are 0.3g for small tissue samples, 10g and 25g for organs, tissue samples, and very small animals, 100g, 130g, and 200g for mice-size animals, 300g, 500g, 700g, and 900g for rat-size animals (EchoMRI-4in1™).</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is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To be measured, an animal is placed in a specially sized, clear plastic holder without sedation or anesthesia. The holder is then inserted into a tubular space in the side of the EchoMRI™ system. The researcher then either presses a key on the keyboard or clicks a button on the LCD screen, and the scan starts.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Can the animals move in the holders?</a:t>
          </a:r>
          <a:endParaRPr lang="en-US" sz="1800">
            <a:solidFill>
              <a:srgbClr val="000099"/>
            </a:solidFill>
            <a:effectLst/>
          </a:endParaRPr>
        </a:p>
        <a:p>
          <a:pPr fontAlgn="ctr"/>
          <a:r>
            <a:rPr lang="en-US" sz="1400" b="0" i="0">
              <a:solidFill>
                <a:schemeClr val="dk1"/>
              </a:solidFill>
              <a:effectLst/>
              <a:latin typeface="+mn-lt"/>
              <a:ea typeface="+mn-ea"/>
              <a:cs typeface="+mn-cs"/>
            </a:rPr>
            <a:t>Animals are scanned without anesthesia, sedation, or restraint and so are free to move in the holders. It is best to use holders of the smallest volume that can hold the animal, to restrict its movement and so reduce the measurement errors caused by motion.</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the benefits of EchoMRI™ systems?</a:t>
          </a:r>
          <a:endParaRPr lang="en-US" sz="1800" b="0" i="0">
            <a:solidFill>
              <a:srgbClr val="000099"/>
            </a:solidFill>
            <a:effectLst/>
            <a:latin typeface="+mn-lt"/>
            <a:ea typeface="+mn-ea"/>
            <a:cs typeface="+mn-cs"/>
          </a:endParaRPr>
        </a:p>
        <a:p>
          <a:pPr fontAlgn="ctr"/>
          <a:r>
            <a:rPr lang="en-US" sz="1400" b="1" i="0">
              <a:solidFill>
                <a:schemeClr val="dk1"/>
              </a:solidFill>
              <a:effectLst/>
              <a:latin typeface="+mn-lt"/>
              <a:ea typeface="+mn-ea"/>
              <a:cs typeface="+mn-cs"/>
            </a:rPr>
            <a:t>1)   No anesthesia or restraints are needed</a:t>
          </a:r>
        </a:p>
        <a:p>
          <a:pPr fontAlgn="ctr"/>
          <a:r>
            <a:rPr lang="en-US" sz="1400" b="0" i="0">
              <a:solidFill>
                <a:schemeClr val="dk1"/>
              </a:solidFill>
              <a:effectLst/>
              <a:latin typeface="+mn-lt"/>
              <a:ea typeface="+mn-ea"/>
              <a:cs typeface="+mn-cs"/>
            </a:rPr>
            <a:t>The fact that the animals can be scanned alive, awake, and unrestrained makes the measurements much more comfortable for both the animals and their handlers. An important benefit from this is that animals can be scanned as frequently as needed without undue stress or other effects on their health and well-being.</a:t>
          </a:r>
        </a:p>
        <a:p>
          <a:pPr fontAlgn="ctr"/>
          <a:r>
            <a:rPr lang="en-US" sz="1400" b="1" i="0">
              <a:solidFill>
                <a:schemeClr val="dk1"/>
              </a:solidFill>
              <a:effectLst/>
              <a:latin typeface="+mn-lt"/>
              <a:ea typeface="+mn-ea"/>
              <a:cs typeface="+mn-cs"/>
            </a:rPr>
            <a:t>2)   Short scan duration</a:t>
          </a:r>
        </a:p>
        <a:p>
          <a:pPr fontAlgn="ctr"/>
          <a:r>
            <a:rPr lang="en-US" sz="1400" b="0" i="0">
              <a:solidFill>
                <a:schemeClr val="dk1"/>
              </a:solidFill>
              <a:effectLst/>
              <a:latin typeface="+mn-lt"/>
              <a:ea typeface="+mn-ea"/>
              <a:cs typeface="+mn-cs"/>
            </a:rPr>
            <a:t>In most typical cases, the scan can be completed in less than a minute if water is not included or a minute and a half if water is measured too.</a:t>
          </a:r>
        </a:p>
        <a:p>
          <a:pPr fontAlgn="ctr"/>
          <a:r>
            <a:rPr lang="en-US" sz="1400" b="1" i="0">
              <a:solidFill>
                <a:schemeClr val="dk1"/>
              </a:solidFill>
              <a:effectLst/>
              <a:latin typeface="+mn-lt"/>
              <a:ea typeface="+mn-ea"/>
              <a:cs typeface="+mn-cs"/>
            </a:rPr>
            <a:t>3)   Unsurpassed precision</a:t>
          </a:r>
        </a:p>
        <a:p>
          <a:pPr fontAlgn="ctr"/>
          <a:r>
            <a:rPr lang="en-US" sz="1400" b="0" i="0">
              <a:solidFill>
                <a:schemeClr val="dk1"/>
              </a:solidFill>
              <a:effectLst/>
              <a:latin typeface="+mn-lt"/>
              <a:ea typeface="+mn-ea"/>
              <a:cs typeface="+mn-cs"/>
            </a:rPr>
            <a:t>The repeatability of measurement results is superior to any alternative methods that have been compared with EchoMRI™ so far.</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is the difference between measuring body composition by EchoMRI™ in a mouse and in a human (or in animals of substantially different sizes)?</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The methodology is exactly the same for all our systems, regardless of subject size. The hardware needs to be different for different sizes, including the optimal choice of magnetic field strength and of the nature of the magnets, permanent or electric.</a:t>
          </a:r>
        </a:p>
        <a:p>
          <a:br>
            <a:rPr lang="en-US" sz="1400"/>
          </a:br>
          <a:endParaRPr lang="en-US" sz="1400" b="0" i="0">
            <a:solidFill>
              <a:schemeClr val="dk1"/>
            </a:solidFill>
            <a:effectLst/>
            <a:latin typeface="+mn-lt"/>
            <a:ea typeface="+mn-ea"/>
            <a:cs typeface="+mn-cs"/>
          </a:endParaRPr>
        </a:p>
        <a:p>
          <a:endParaRPr lang="en-US" sz="1100"/>
        </a:p>
      </xdr:txBody>
    </xdr:sp>
    <xdr:clientData/>
  </xdr:twoCellAnchor>
  <xdr:twoCellAnchor>
    <xdr:from>
      <xdr:col>18</xdr:col>
      <xdr:colOff>257174</xdr:colOff>
      <xdr:row>17</xdr:row>
      <xdr:rowOff>2943</xdr:rowOff>
    </xdr:from>
    <xdr:to>
      <xdr:col>22</xdr:col>
      <xdr:colOff>238125</xdr:colOff>
      <xdr:row>19</xdr:row>
      <xdr:rowOff>0</xdr:rowOff>
    </xdr:to>
    <xdr:sp macro="" textlink="">
      <xdr:nvSpPr>
        <xdr:cNvPr id="70" name="TextBox 4">
          <a:extLst>
            <a:ext uri="{FF2B5EF4-FFF2-40B4-BE49-F238E27FC236}">
              <a16:creationId xmlns:a16="http://schemas.microsoft.com/office/drawing/2014/main" id="{00000000-0008-0000-0100-000046000000}"/>
            </a:ext>
          </a:extLst>
        </xdr:cNvPr>
        <xdr:cNvSpPr txBox="1"/>
      </xdr:nvSpPr>
      <xdr:spPr>
        <a:xfrm>
          <a:off x="12601574" y="4498743"/>
          <a:ext cx="2724151" cy="32090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t>EchoMRI, 4in1-500</a:t>
          </a:r>
        </a:p>
      </xdr:txBody>
    </xdr:sp>
    <xdr:clientData/>
  </xdr:twoCellAnchor>
  <xdr:oneCellAnchor>
    <xdr:from>
      <xdr:col>18</xdr:col>
      <xdr:colOff>575095</xdr:colOff>
      <xdr:row>1</xdr:row>
      <xdr:rowOff>0</xdr:rowOff>
    </xdr:from>
    <xdr:ext cx="184731" cy="264560"/>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2" name="TextBox 71">
          <a:extLst>
            <a:ext uri="{FF2B5EF4-FFF2-40B4-BE49-F238E27FC236}">
              <a16:creationId xmlns:a16="http://schemas.microsoft.com/office/drawing/2014/main" id="{00000000-0008-0000-0100-00004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00000000-0008-0000-0100-00004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00000000-0008-0000-0100-00004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9" name="TextBox 78">
          <a:extLst>
            <a:ext uri="{FF2B5EF4-FFF2-40B4-BE49-F238E27FC236}">
              <a16:creationId xmlns:a16="http://schemas.microsoft.com/office/drawing/2014/main" id="{00000000-0008-0000-0100-00004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3" name="TextBox 82">
          <a:extLst>
            <a:ext uri="{FF2B5EF4-FFF2-40B4-BE49-F238E27FC236}">
              <a16:creationId xmlns:a16="http://schemas.microsoft.com/office/drawing/2014/main" id="{00000000-0008-0000-0100-00005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00000000-0008-0000-0100-00005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5" name="TextBox 84">
          <a:extLst>
            <a:ext uri="{FF2B5EF4-FFF2-40B4-BE49-F238E27FC236}">
              <a16:creationId xmlns:a16="http://schemas.microsoft.com/office/drawing/2014/main" id="{00000000-0008-0000-0100-000055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6" name="TextBox 85">
          <a:extLst>
            <a:ext uri="{FF2B5EF4-FFF2-40B4-BE49-F238E27FC236}">
              <a16:creationId xmlns:a16="http://schemas.microsoft.com/office/drawing/2014/main" id="{00000000-0008-0000-0100-00005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00000000-0008-0000-0100-00005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8" name="TextBox 87">
          <a:extLst>
            <a:ext uri="{FF2B5EF4-FFF2-40B4-BE49-F238E27FC236}">
              <a16:creationId xmlns:a16="http://schemas.microsoft.com/office/drawing/2014/main" id="{00000000-0008-0000-0100-00005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9" name="TextBox 88">
          <a:extLst>
            <a:ext uri="{FF2B5EF4-FFF2-40B4-BE49-F238E27FC236}">
              <a16:creationId xmlns:a16="http://schemas.microsoft.com/office/drawing/2014/main" id="{00000000-0008-0000-0100-00005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00000000-0008-0000-0100-00005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1" name="TextBox 90">
          <a:extLst>
            <a:ext uri="{FF2B5EF4-FFF2-40B4-BE49-F238E27FC236}">
              <a16:creationId xmlns:a16="http://schemas.microsoft.com/office/drawing/2014/main" id="{00000000-0008-0000-0100-00005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2" name="TextBox 91">
          <a:extLst>
            <a:ext uri="{FF2B5EF4-FFF2-40B4-BE49-F238E27FC236}">
              <a16:creationId xmlns:a16="http://schemas.microsoft.com/office/drawing/2014/main" id="{00000000-0008-0000-0100-00005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00000000-0008-0000-0100-00005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4" name="TextBox 93">
          <a:extLst>
            <a:ext uri="{FF2B5EF4-FFF2-40B4-BE49-F238E27FC236}">
              <a16:creationId xmlns:a16="http://schemas.microsoft.com/office/drawing/2014/main" id="{00000000-0008-0000-0100-00005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00000000-0008-0000-0100-00005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00000000-0008-0000-0100-00006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00000000-0008-0000-0100-00006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00000000-0008-0000-0100-00006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9" name="TextBox 98">
          <a:extLst>
            <a:ext uri="{FF2B5EF4-FFF2-40B4-BE49-F238E27FC236}">
              <a16:creationId xmlns:a16="http://schemas.microsoft.com/office/drawing/2014/main" id="{00000000-0008-0000-0100-00006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0" name="TextBox 99">
          <a:extLst>
            <a:ext uri="{FF2B5EF4-FFF2-40B4-BE49-F238E27FC236}">
              <a16:creationId xmlns:a16="http://schemas.microsoft.com/office/drawing/2014/main" id="{00000000-0008-0000-0100-00006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1" name="TextBox 100">
          <a:extLst>
            <a:ext uri="{FF2B5EF4-FFF2-40B4-BE49-F238E27FC236}">
              <a16:creationId xmlns:a16="http://schemas.microsoft.com/office/drawing/2014/main" id="{00000000-0008-0000-0100-00006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00000000-0008-0000-0100-00006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3" name="TextBox 102">
          <a:extLst>
            <a:ext uri="{FF2B5EF4-FFF2-40B4-BE49-F238E27FC236}">
              <a16:creationId xmlns:a16="http://schemas.microsoft.com/office/drawing/2014/main" id="{00000000-0008-0000-0100-00006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4" name="TextBox 103">
          <a:extLst>
            <a:ext uri="{FF2B5EF4-FFF2-40B4-BE49-F238E27FC236}">
              <a16:creationId xmlns:a16="http://schemas.microsoft.com/office/drawing/2014/main" id="{00000000-0008-0000-0100-00006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5" name="TextBox 104">
          <a:extLst>
            <a:ext uri="{FF2B5EF4-FFF2-40B4-BE49-F238E27FC236}">
              <a16:creationId xmlns:a16="http://schemas.microsoft.com/office/drawing/2014/main" id="{00000000-0008-0000-0100-00006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00000000-0008-0000-0100-00006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00000000-0008-0000-0100-00006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00000000-0008-0000-0100-00006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00000000-0008-0000-0100-00006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00000000-0008-0000-0100-00006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00000000-0008-0000-0100-00006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00000000-0008-0000-0100-00007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00000000-0008-0000-0100-00007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00000000-0008-0000-0100-00007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00000000-0008-0000-0100-00007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00000000-0008-0000-0100-00007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0000000-0008-0000-0100-00007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00000000-0008-0000-0100-00007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00000000-0008-0000-0100-00007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00000000-0008-0000-0100-00007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1" name="TextBox 120">
          <a:extLst>
            <a:ext uri="{FF2B5EF4-FFF2-40B4-BE49-F238E27FC236}">
              <a16:creationId xmlns:a16="http://schemas.microsoft.com/office/drawing/2014/main" id="{00000000-0008-0000-0100-00007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2" name="TextBox 121">
          <a:extLst>
            <a:ext uri="{FF2B5EF4-FFF2-40B4-BE49-F238E27FC236}">
              <a16:creationId xmlns:a16="http://schemas.microsoft.com/office/drawing/2014/main" id="{00000000-0008-0000-0100-00007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3" name="TextBox 122">
          <a:extLst>
            <a:ext uri="{FF2B5EF4-FFF2-40B4-BE49-F238E27FC236}">
              <a16:creationId xmlns:a16="http://schemas.microsoft.com/office/drawing/2014/main" id="{00000000-0008-0000-0100-00007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00000000-0008-0000-0100-00007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5" name="TextBox 124">
          <a:extLst>
            <a:ext uri="{FF2B5EF4-FFF2-40B4-BE49-F238E27FC236}">
              <a16:creationId xmlns:a16="http://schemas.microsoft.com/office/drawing/2014/main" id="{00000000-0008-0000-0100-00007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6" name="TextBox 125">
          <a:extLst>
            <a:ext uri="{FF2B5EF4-FFF2-40B4-BE49-F238E27FC236}">
              <a16:creationId xmlns:a16="http://schemas.microsoft.com/office/drawing/2014/main" id="{00000000-0008-0000-0100-00007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00000000-0008-0000-0100-00007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8" name="TextBox 127">
          <a:extLst>
            <a:ext uri="{FF2B5EF4-FFF2-40B4-BE49-F238E27FC236}">
              <a16:creationId xmlns:a16="http://schemas.microsoft.com/office/drawing/2014/main" id="{00000000-0008-0000-0100-00008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9" name="TextBox 128">
          <a:extLst>
            <a:ext uri="{FF2B5EF4-FFF2-40B4-BE49-F238E27FC236}">
              <a16:creationId xmlns:a16="http://schemas.microsoft.com/office/drawing/2014/main" id="{00000000-0008-0000-0100-00008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00000000-0008-0000-0100-00008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1" name="TextBox 130">
          <a:extLst>
            <a:ext uri="{FF2B5EF4-FFF2-40B4-BE49-F238E27FC236}">
              <a16:creationId xmlns:a16="http://schemas.microsoft.com/office/drawing/2014/main" id="{00000000-0008-0000-0100-00008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2" name="TextBox 131">
          <a:extLst>
            <a:ext uri="{FF2B5EF4-FFF2-40B4-BE49-F238E27FC236}">
              <a16:creationId xmlns:a16="http://schemas.microsoft.com/office/drawing/2014/main" id="{00000000-0008-0000-0100-00008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00000000-0008-0000-0100-00008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4" name="TextBox 133">
          <a:extLst>
            <a:ext uri="{FF2B5EF4-FFF2-40B4-BE49-F238E27FC236}">
              <a16:creationId xmlns:a16="http://schemas.microsoft.com/office/drawing/2014/main" id="{00000000-0008-0000-0100-00008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5" name="TextBox 134">
          <a:extLst>
            <a:ext uri="{FF2B5EF4-FFF2-40B4-BE49-F238E27FC236}">
              <a16:creationId xmlns:a16="http://schemas.microsoft.com/office/drawing/2014/main" id="{00000000-0008-0000-0100-00008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6" name="TextBox 135">
          <a:extLst>
            <a:ext uri="{FF2B5EF4-FFF2-40B4-BE49-F238E27FC236}">
              <a16:creationId xmlns:a16="http://schemas.microsoft.com/office/drawing/2014/main" id="{00000000-0008-0000-0100-00008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00000000-0008-0000-0100-00008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8" name="TextBox 137">
          <a:extLst>
            <a:ext uri="{FF2B5EF4-FFF2-40B4-BE49-F238E27FC236}">
              <a16:creationId xmlns:a16="http://schemas.microsoft.com/office/drawing/2014/main" id="{00000000-0008-0000-0100-00008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9" name="TextBox 138">
          <a:extLst>
            <a:ext uri="{FF2B5EF4-FFF2-40B4-BE49-F238E27FC236}">
              <a16:creationId xmlns:a16="http://schemas.microsoft.com/office/drawing/2014/main" id="{00000000-0008-0000-0100-00008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0" name="TextBox 139">
          <a:extLst>
            <a:ext uri="{FF2B5EF4-FFF2-40B4-BE49-F238E27FC236}">
              <a16:creationId xmlns:a16="http://schemas.microsoft.com/office/drawing/2014/main" id="{00000000-0008-0000-0100-00008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1" name="TextBox 140">
          <a:extLst>
            <a:ext uri="{FF2B5EF4-FFF2-40B4-BE49-F238E27FC236}">
              <a16:creationId xmlns:a16="http://schemas.microsoft.com/office/drawing/2014/main" id="{00000000-0008-0000-0100-00008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2" name="TextBox 141">
          <a:extLst>
            <a:ext uri="{FF2B5EF4-FFF2-40B4-BE49-F238E27FC236}">
              <a16:creationId xmlns:a16="http://schemas.microsoft.com/office/drawing/2014/main" id="{00000000-0008-0000-0100-00008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3" name="TextBox 142">
          <a:extLst>
            <a:ext uri="{FF2B5EF4-FFF2-40B4-BE49-F238E27FC236}">
              <a16:creationId xmlns:a16="http://schemas.microsoft.com/office/drawing/2014/main" id="{00000000-0008-0000-0100-00008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4" name="TextBox 143">
          <a:extLst>
            <a:ext uri="{FF2B5EF4-FFF2-40B4-BE49-F238E27FC236}">
              <a16:creationId xmlns:a16="http://schemas.microsoft.com/office/drawing/2014/main" id="{00000000-0008-0000-0100-00009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5" name="TextBox 144">
          <a:extLst>
            <a:ext uri="{FF2B5EF4-FFF2-40B4-BE49-F238E27FC236}">
              <a16:creationId xmlns:a16="http://schemas.microsoft.com/office/drawing/2014/main" id="{00000000-0008-0000-0100-00009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6" name="TextBox 145">
          <a:extLst>
            <a:ext uri="{FF2B5EF4-FFF2-40B4-BE49-F238E27FC236}">
              <a16:creationId xmlns:a16="http://schemas.microsoft.com/office/drawing/2014/main" id="{00000000-0008-0000-0100-00009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7" name="TextBox 146">
          <a:extLst>
            <a:ext uri="{FF2B5EF4-FFF2-40B4-BE49-F238E27FC236}">
              <a16:creationId xmlns:a16="http://schemas.microsoft.com/office/drawing/2014/main" id="{00000000-0008-0000-0100-00009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8" name="TextBox 147">
          <a:extLst>
            <a:ext uri="{FF2B5EF4-FFF2-40B4-BE49-F238E27FC236}">
              <a16:creationId xmlns:a16="http://schemas.microsoft.com/office/drawing/2014/main" id="{00000000-0008-0000-0100-00009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9" name="TextBox 148">
          <a:extLst>
            <a:ext uri="{FF2B5EF4-FFF2-40B4-BE49-F238E27FC236}">
              <a16:creationId xmlns:a16="http://schemas.microsoft.com/office/drawing/2014/main" id="{00000000-0008-0000-0100-00009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0" name="TextBox 149">
          <a:extLst>
            <a:ext uri="{FF2B5EF4-FFF2-40B4-BE49-F238E27FC236}">
              <a16:creationId xmlns:a16="http://schemas.microsoft.com/office/drawing/2014/main" id="{00000000-0008-0000-0100-00009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1" name="TextBox 150">
          <a:extLst>
            <a:ext uri="{FF2B5EF4-FFF2-40B4-BE49-F238E27FC236}">
              <a16:creationId xmlns:a16="http://schemas.microsoft.com/office/drawing/2014/main" id="{00000000-0008-0000-0100-00009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2" name="TextBox 151">
          <a:extLst>
            <a:ext uri="{FF2B5EF4-FFF2-40B4-BE49-F238E27FC236}">
              <a16:creationId xmlns:a16="http://schemas.microsoft.com/office/drawing/2014/main" id="{00000000-0008-0000-0100-00009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3" name="TextBox 152">
          <a:extLst>
            <a:ext uri="{FF2B5EF4-FFF2-40B4-BE49-F238E27FC236}">
              <a16:creationId xmlns:a16="http://schemas.microsoft.com/office/drawing/2014/main" id="{00000000-0008-0000-0100-00009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00000000-0008-0000-0100-00009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5" name="TextBox 154">
          <a:extLst>
            <a:ext uri="{FF2B5EF4-FFF2-40B4-BE49-F238E27FC236}">
              <a16:creationId xmlns:a16="http://schemas.microsoft.com/office/drawing/2014/main" id="{00000000-0008-0000-0100-00009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6" name="TextBox 155">
          <a:extLst>
            <a:ext uri="{FF2B5EF4-FFF2-40B4-BE49-F238E27FC236}">
              <a16:creationId xmlns:a16="http://schemas.microsoft.com/office/drawing/2014/main" id="{00000000-0008-0000-0100-00009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7" name="TextBox 156">
          <a:extLst>
            <a:ext uri="{FF2B5EF4-FFF2-40B4-BE49-F238E27FC236}">
              <a16:creationId xmlns:a16="http://schemas.microsoft.com/office/drawing/2014/main" id="{00000000-0008-0000-0100-00009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00000000-0008-0000-0100-00009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00000000-0008-0000-0100-00009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00000000-0008-0000-0100-0000A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00000000-0008-0000-0100-0000A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2" name="TextBox 161">
          <a:extLst>
            <a:ext uri="{FF2B5EF4-FFF2-40B4-BE49-F238E27FC236}">
              <a16:creationId xmlns:a16="http://schemas.microsoft.com/office/drawing/2014/main" id="{00000000-0008-0000-0100-0000A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00000000-0008-0000-0100-0000A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4" name="TextBox 163">
          <a:extLst>
            <a:ext uri="{FF2B5EF4-FFF2-40B4-BE49-F238E27FC236}">
              <a16:creationId xmlns:a16="http://schemas.microsoft.com/office/drawing/2014/main" id="{00000000-0008-0000-0100-0000A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5" name="TextBox 164">
          <a:extLst>
            <a:ext uri="{FF2B5EF4-FFF2-40B4-BE49-F238E27FC236}">
              <a16:creationId xmlns:a16="http://schemas.microsoft.com/office/drawing/2014/main" id="{00000000-0008-0000-0100-0000A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6" name="TextBox 165">
          <a:extLst>
            <a:ext uri="{FF2B5EF4-FFF2-40B4-BE49-F238E27FC236}">
              <a16:creationId xmlns:a16="http://schemas.microsoft.com/office/drawing/2014/main" id="{00000000-0008-0000-0100-0000A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00000000-0008-0000-0100-0000A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00000000-0008-0000-0100-0000A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00000000-0008-0000-0100-0000A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00000000-0008-0000-0100-0000A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00000000-0008-0000-0100-0000A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00000000-0008-0000-0100-0000A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00000000-0008-0000-0100-0000A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00000000-0008-0000-0100-0000A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00000000-0008-0000-0100-0000A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00000000-0008-0000-0100-0000B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00000000-0008-0000-0100-0000B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00000000-0008-0000-0100-0000B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00000000-0008-0000-0100-0000B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00000000-0008-0000-0100-0000B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00000000-0008-0000-0100-0000B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00000000-0008-0000-0100-0000B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00000000-0008-0000-0100-0000B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00000000-0008-0000-0100-0000B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00000000-0008-0000-0100-0000B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00000000-0008-0000-0100-0000B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00000000-0008-0000-0100-0000B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00000000-0008-0000-0100-0000B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00000000-0008-0000-0100-0000B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00000000-0008-0000-0100-0000B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00000000-0008-0000-0100-0000B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00000000-0008-0000-0100-0000C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00000000-0008-0000-0100-0000C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00000000-0008-0000-0100-0000C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00000000-0008-0000-0100-0000C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00000000-0008-0000-0100-0000C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00000000-0008-0000-0100-0000C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00000000-0008-0000-0100-0000C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00000000-0008-0000-0100-0000C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00000000-0008-0000-0100-0000C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00000000-0008-0000-0100-0000C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00000000-0008-0000-0100-0000C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0000000-0008-0000-0100-0000C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00000000-0008-0000-0100-0000C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0000000-0008-0000-0100-0000C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00000000-0008-0000-0100-0000C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0" name="TextBox 369">
          <a:extLst>
            <a:ext uri="{FF2B5EF4-FFF2-40B4-BE49-F238E27FC236}">
              <a16:creationId xmlns:a16="http://schemas.microsoft.com/office/drawing/2014/main" id="{00000000-0008-0000-0100-00007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1" name="TextBox 370">
          <a:extLst>
            <a:ext uri="{FF2B5EF4-FFF2-40B4-BE49-F238E27FC236}">
              <a16:creationId xmlns:a16="http://schemas.microsoft.com/office/drawing/2014/main" id="{00000000-0008-0000-0100-00007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2" name="TextBox 371">
          <a:extLst>
            <a:ext uri="{FF2B5EF4-FFF2-40B4-BE49-F238E27FC236}">
              <a16:creationId xmlns:a16="http://schemas.microsoft.com/office/drawing/2014/main" id="{00000000-0008-0000-0100-00007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3" name="TextBox 372">
          <a:extLst>
            <a:ext uri="{FF2B5EF4-FFF2-40B4-BE49-F238E27FC236}">
              <a16:creationId xmlns:a16="http://schemas.microsoft.com/office/drawing/2014/main" id="{00000000-0008-0000-0100-00007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4" name="TextBox 373">
          <a:extLst>
            <a:ext uri="{FF2B5EF4-FFF2-40B4-BE49-F238E27FC236}">
              <a16:creationId xmlns:a16="http://schemas.microsoft.com/office/drawing/2014/main" id="{00000000-0008-0000-0100-00007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5" name="TextBox 374">
          <a:extLst>
            <a:ext uri="{FF2B5EF4-FFF2-40B4-BE49-F238E27FC236}">
              <a16:creationId xmlns:a16="http://schemas.microsoft.com/office/drawing/2014/main" id="{00000000-0008-0000-0100-00007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6" name="TextBox 375">
          <a:extLst>
            <a:ext uri="{FF2B5EF4-FFF2-40B4-BE49-F238E27FC236}">
              <a16:creationId xmlns:a16="http://schemas.microsoft.com/office/drawing/2014/main" id="{00000000-0008-0000-0100-00007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7" name="TextBox 376">
          <a:extLst>
            <a:ext uri="{FF2B5EF4-FFF2-40B4-BE49-F238E27FC236}">
              <a16:creationId xmlns:a16="http://schemas.microsoft.com/office/drawing/2014/main" id="{00000000-0008-0000-0100-00007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8" name="TextBox 377">
          <a:extLst>
            <a:ext uri="{FF2B5EF4-FFF2-40B4-BE49-F238E27FC236}">
              <a16:creationId xmlns:a16="http://schemas.microsoft.com/office/drawing/2014/main" id="{00000000-0008-0000-0100-00007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9" name="TextBox 378">
          <a:extLst>
            <a:ext uri="{FF2B5EF4-FFF2-40B4-BE49-F238E27FC236}">
              <a16:creationId xmlns:a16="http://schemas.microsoft.com/office/drawing/2014/main" id="{00000000-0008-0000-0100-00007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0" name="TextBox 379">
          <a:extLst>
            <a:ext uri="{FF2B5EF4-FFF2-40B4-BE49-F238E27FC236}">
              <a16:creationId xmlns:a16="http://schemas.microsoft.com/office/drawing/2014/main" id="{00000000-0008-0000-0100-00007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1" name="TextBox 380">
          <a:extLst>
            <a:ext uri="{FF2B5EF4-FFF2-40B4-BE49-F238E27FC236}">
              <a16:creationId xmlns:a16="http://schemas.microsoft.com/office/drawing/2014/main" id="{00000000-0008-0000-0100-00007D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2" name="TextBox 381">
          <a:extLst>
            <a:ext uri="{FF2B5EF4-FFF2-40B4-BE49-F238E27FC236}">
              <a16:creationId xmlns:a16="http://schemas.microsoft.com/office/drawing/2014/main" id="{00000000-0008-0000-0100-00007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3" name="TextBox 382">
          <a:extLst>
            <a:ext uri="{FF2B5EF4-FFF2-40B4-BE49-F238E27FC236}">
              <a16:creationId xmlns:a16="http://schemas.microsoft.com/office/drawing/2014/main" id="{00000000-0008-0000-0100-00007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4" name="TextBox 383">
          <a:extLst>
            <a:ext uri="{FF2B5EF4-FFF2-40B4-BE49-F238E27FC236}">
              <a16:creationId xmlns:a16="http://schemas.microsoft.com/office/drawing/2014/main" id="{00000000-0008-0000-0100-000080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5" name="TextBox 384">
          <a:extLst>
            <a:ext uri="{FF2B5EF4-FFF2-40B4-BE49-F238E27FC236}">
              <a16:creationId xmlns:a16="http://schemas.microsoft.com/office/drawing/2014/main" id="{00000000-0008-0000-0100-00008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6" name="TextBox 385">
          <a:extLst>
            <a:ext uri="{FF2B5EF4-FFF2-40B4-BE49-F238E27FC236}">
              <a16:creationId xmlns:a16="http://schemas.microsoft.com/office/drawing/2014/main" id="{00000000-0008-0000-0100-00008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7" name="TextBox 386">
          <a:extLst>
            <a:ext uri="{FF2B5EF4-FFF2-40B4-BE49-F238E27FC236}">
              <a16:creationId xmlns:a16="http://schemas.microsoft.com/office/drawing/2014/main" id="{00000000-0008-0000-0100-00008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8" name="TextBox 387">
          <a:extLst>
            <a:ext uri="{FF2B5EF4-FFF2-40B4-BE49-F238E27FC236}">
              <a16:creationId xmlns:a16="http://schemas.microsoft.com/office/drawing/2014/main" id="{00000000-0008-0000-0100-00008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9" name="TextBox 388">
          <a:extLst>
            <a:ext uri="{FF2B5EF4-FFF2-40B4-BE49-F238E27FC236}">
              <a16:creationId xmlns:a16="http://schemas.microsoft.com/office/drawing/2014/main" id="{00000000-0008-0000-0100-00008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0" name="TextBox 389">
          <a:extLst>
            <a:ext uri="{FF2B5EF4-FFF2-40B4-BE49-F238E27FC236}">
              <a16:creationId xmlns:a16="http://schemas.microsoft.com/office/drawing/2014/main" id="{00000000-0008-0000-0100-00008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1" name="TextBox 390">
          <a:extLst>
            <a:ext uri="{FF2B5EF4-FFF2-40B4-BE49-F238E27FC236}">
              <a16:creationId xmlns:a16="http://schemas.microsoft.com/office/drawing/2014/main" id="{00000000-0008-0000-0100-00008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2" name="TextBox 391">
          <a:extLst>
            <a:ext uri="{FF2B5EF4-FFF2-40B4-BE49-F238E27FC236}">
              <a16:creationId xmlns:a16="http://schemas.microsoft.com/office/drawing/2014/main" id="{00000000-0008-0000-0100-00008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3" name="TextBox 392">
          <a:extLst>
            <a:ext uri="{FF2B5EF4-FFF2-40B4-BE49-F238E27FC236}">
              <a16:creationId xmlns:a16="http://schemas.microsoft.com/office/drawing/2014/main" id="{00000000-0008-0000-0100-00008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4" name="TextBox 393">
          <a:extLst>
            <a:ext uri="{FF2B5EF4-FFF2-40B4-BE49-F238E27FC236}">
              <a16:creationId xmlns:a16="http://schemas.microsoft.com/office/drawing/2014/main" id="{00000000-0008-0000-0100-00008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5" name="TextBox 394">
          <a:extLst>
            <a:ext uri="{FF2B5EF4-FFF2-40B4-BE49-F238E27FC236}">
              <a16:creationId xmlns:a16="http://schemas.microsoft.com/office/drawing/2014/main" id="{00000000-0008-0000-0100-00008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6" name="TextBox 395">
          <a:extLst>
            <a:ext uri="{FF2B5EF4-FFF2-40B4-BE49-F238E27FC236}">
              <a16:creationId xmlns:a16="http://schemas.microsoft.com/office/drawing/2014/main" id="{00000000-0008-0000-0100-00008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7" name="TextBox 396">
          <a:extLst>
            <a:ext uri="{FF2B5EF4-FFF2-40B4-BE49-F238E27FC236}">
              <a16:creationId xmlns:a16="http://schemas.microsoft.com/office/drawing/2014/main" id="{00000000-0008-0000-0100-00008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8" name="TextBox 397">
          <a:extLst>
            <a:ext uri="{FF2B5EF4-FFF2-40B4-BE49-F238E27FC236}">
              <a16:creationId xmlns:a16="http://schemas.microsoft.com/office/drawing/2014/main" id="{00000000-0008-0000-0100-00008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9" name="TextBox 398">
          <a:extLst>
            <a:ext uri="{FF2B5EF4-FFF2-40B4-BE49-F238E27FC236}">
              <a16:creationId xmlns:a16="http://schemas.microsoft.com/office/drawing/2014/main" id="{00000000-0008-0000-0100-00008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0" name="TextBox 399">
          <a:extLst>
            <a:ext uri="{FF2B5EF4-FFF2-40B4-BE49-F238E27FC236}">
              <a16:creationId xmlns:a16="http://schemas.microsoft.com/office/drawing/2014/main" id="{00000000-0008-0000-0100-00009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1" name="TextBox 400">
          <a:extLst>
            <a:ext uri="{FF2B5EF4-FFF2-40B4-BE49-F238E27FC236}">
              <a16:creationId xmlns:a16="http://schemas.microsoft.com/office/drawing/2014/main" id="{00000000-0008-0000-0100-00009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2" name="TextBox 401">
          <a:extLst>
            <a:ext uri="{FF2B5EF4-FFF2-40B4-BE49-F238E27FC236}">
              <a16:creationId xmlns:a16="http://schemas.microsoft.com/office/drawing/2014/main" id="{00000000-0008-0000-0100-00009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3" name="TextBox 402">
          <a:extLst>
            <a:ext uri="{FF2B5EF4-FFF2-40B4-BE49-F238E27FC236}">
              <a16:creationId xmlns:a16="http://schemas.microsoft.com/office/drawing/2014/main" id="{00000000-0008-0000-0100-00009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4" name="TextBox 403">
          <a:extLst>
            <a:ext uri="{FF2B5EF4-FFF2-40B4-BE49-F238E27FC236}">
              <a16:creationId xmlns:a16="http://schemas.microsoft.com/office/drawing/2014/main" id="{00000000-0008-0000-0100-00009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5" name="TextBox 404">
          <a:extLst>
            <a:ext uri="{FF2B5EF4-FFF2-40B4-BE49-F238E27FC236}">
              <a16:creationId xmlns:a16="http://schemas.microsoft.com/office/drawing/2014/main" id="{00000000-0008-0000-0100-00009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6" name="TextBox 405">
          <a:extLst>
            <a:ext uri="{FF2B5EF4-FFF2-40B4-BE49-F238E27FC236}">
              <a16:creationId xmlns:a16="http://schemas.microsoft.com/office/drawing/2014/main" id="{00000000-0008-0000-0100-00009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7" name="TextBox 406">
          <a:extLst>
            <a:ext uri="{FF2B5EF4-FFF2-40B4-BE49-F238E27FC236}">
              <a16:creationId xmlns:a16="http://schemas.microsoft.com/office/drawing/2014/main" id="{00000000-0008-0000-0100-00009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8" name="TextBox 407">
          <a:extLst>
            <a:ext uri="{FF2B5EF4-FFF2-40B4-BE49-F238E27FC236}">
              <a16:creationId xmlns:a16="http://schemas.microsoft.com/office/drawing/2014/main" id="{00000000-0008-0000-0100-00009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9" name="TextBox 408">
          <a:extLst>
            <a:ext uri="{FF2B5EF4-FFF2-40B4-BE49-F238E27FC236}">
              <a16:creationId xmlns:a16="http://schemas.microsoft.com/office/drawing/2014/main" id="{00000000-0008-0000-0100-00009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0" name="TextBox 409">
          <a:extLst>
            <a:ext uri="{FF2B5EF4-FFF2-40B4-BE49-F238E27FC236}">
              <a16:creationId xmlns:a16="http://schemas.microsoft.com/office/drawing/2014/main" id="{00000000-0008-0000-0100-00009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1" name="TextBox 410">
          <a:extLst>
            <a:ext uri="{FF2B5EF4-FFF2-40B4-BE49-F238E27FC236}">
              <a16:creationId xmlns:a16="http://schemas.microsoft.com/office/drawing/2014/main" id="{00000000-0008-0000-0100-00009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2" name="TextBox 411">
          <a:extLst>
            <a:ext uri="{FF2B5EF4-FFF2-40B4-BE49-F238E27FC236}">
              <a16:creationId xmlns:a16="http://schemas.microsoft.com/office/drawing/2014/main" id="{00000000-0008-0000-0100-00009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3" name="TextBox 412">
          <a:extLst>
            <a:ext uri="{FF2B5EF4-FFF2-40B4-BE49-F238E27FC236}">
              <a16:creationId xmlns:a16="http://schemas.microsoft.com/office/drawing/2014/main" id="{00000000-0008-0000-0100-00009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4" name="TextBox 413">
          <a:extLst>
            <a:ext uri="{FF2B5EF4-FFF2-40B4-BE49-F238E27FC236}">
              <a16:creationId xmlns:a16="http://schemas.microsoft.com/office/drawing/2014/main" id="{00000000-0008-0000-0100-00009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5" name="TextBox 414">
          <a:extLst>
            <a:ext uri="{FF2B5EF4-FFF2-40B4-BE49-F238E27FC236}">
              <a16:creationId xmlns:a16="http://schemas.microsoft.com/office/drawing/2014/main" id="{00000000-0008-0000-0100-00009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6" name="TextBox 415">
          <a:extLst>
            <a:ext uri="{FF2B5EF4-FFF2-40B4-BE49-F238E27FC236}">
              <a16:creationId xmlns:a16="http://schemas.microsoft.com/office/drawing/2014/main" id="{00000000-0008-0000-0100-0000A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7" name="TextBox 416">
          <a:extLst>
            <a:ext uri="{FF2B5EF4-FFF2-40B4-BE49-F238E27FC236}">
              <a16:creationId xmlns:a16="http://schemas.microsoft.com/office/drawing/2014/main" id="{00000000-0008-0000-0100-0000A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8" name="TextBox 417">
          <a:extLst>
            <a:ext uri="{FF2B5EF4-FFF2-40B4-BE49-F238E27FC236}">
              <a16:creationId xmlns:a16="http://schemas.microsoft.com/office/drawing/2014/main" id="{00000000-0008-0000-0100-0000A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9" name="TextBox 418">
          <a:extLst>
            <a:ext uri="{FF2B5EF4-FFF2-40B4-BE49-F238E27FC236}">
              <a16:creationId xmlns:a16="http://schemas.microsoft.com/office/drawing/2014/main" id="{00000000-0008-0000-0100-0000A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0" name="TextBox 419">
          <a:extLst>
            <a:ext uri="{FF2B5EF4-FFF2-40B4-BE49-F238E27FC236}">
              <a16:creationId xmlns:a16="http://schemas.microsoft.com/office/drawing/2014/main" id="{00000000-0008-0000-0100-0000A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1" name="TextBox 420">
          <a:extLst>
            <a:ext uri="{FF2B5EF4-FFF2-40B4-BE49-F238E27FC236}">
              <a16:creationId xmlns:a16="http://schemas.microsoft.com/office/drawing/2014/main" id="{00000000-0008-0000-0100-0000A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2" name="TextBox 421">
          <a:extLst>
            <a:ext uri="{FF2B5EF4-FFF2-40B4-BE49-F238E27FC236}">
              <a16:creationId xmlns:a16="http://schemas.microsoft.com/office/drawing/2014/main" id="{00000000-0008-0000-0100-0000A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3" name="TextBox 422">
          <a:extLst>
            <a:ext uri="{FF2B5EF4-FFF2-40B4-BE49-F238E27FC236}">
              <a16:creationId xmlns:a16="http://schemas.microsoft.com/office/drawing/2014/main" id="{00000000-0008-0000-0100-0000A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4" name="TextBox 423">
          <a:extLst>
            <a:ext uri="{FF2B5EF4-FFF2-40B4-BE49-F238E27FC236}">
              <a16:creationId xmlns:a16="http://schemas.microsoft.com/office/drawing/2014/main" id="{00000000-0008-0000-0100-0000A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5" name="TextBox 424">
          <a:extLst>
            <a:ext uri="{FF2B5EF4-FFF2-40B4-BE49-F238E27FC236}">
              <a16:creationId xmlns:a16="http://schemas.microsoft.com/office/drawing/2014/main" id="{00000000-0008-0000-0100-0000A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6" name="TextBox 425">
          <a:extLst>
            <a:ext uri="{FF2B5EF4-FFF2-40B4-BE49-F238E27FC236}">
              <a16:creationId xmlns:a16="http://schemas.microsoft.com/office/drawing/2014/main" id="{00000000-0008-0000-0100-0000A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7" name="TextBox 426">
          <a:extLst>
            <a:ext uri="{FF2B5EF4-FFF2-40B4-BE49-F238E27FC236}">
              <a16:creationId xmlns:a16="http://schemas.microsoft.com/office/drawing/2014/main" id="{00000000-0008-0000-0100-0000A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8" name="TextBox 427">
          <a:extLst>
            <a:ext uri="{FF2B5EF4-FFF2-40B4-BE49-F238E27FC236}">
              <a16:creationId xmlns:a16="http://schemas.microsoft.com/office/drawing/2014/main" id="{00000000-0008-0000-0100-0000A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9" name="TextBox 428">
          <a:extLst>
            <a:ext uri="{FF2B5EF4-FFF2-40B4-BE49-F238E27FC236}">
              <a16:creationId xmlns:a16="http://schemas.microsoft.com/office/drawing/2014/main" id="{00000000-0008-0000-0100-0000A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0" name="TextBox 429">
          <a:extLst>
            <a:ext uri="{FF2B5EF4-FFF2-40B4-BE49-F238E27FC236}">
              <a16:creationId xmlns:a16="http://schemas.microsoft.com/office/drawing/2014/main" id="{00000000-0008-0000-0100-0000A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1" name="TextBox 430">
          <a:extLst>
            <a:ext uri="{FF2B5EF4-FFF2-40B4-BE49-F238E27FC236}">
              <a16:creationId xmlns:a16="http://schemas.microsoft.com/office/drawing/2014/main" id="{00000000-0008-0000-0100-0000A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2" name="TextBox 431">
          <a:extLst>
            <a:ext uri="{FF2B5EF4-FFF2-40B4-BE49-F238E27FC236}">
              <a16:creationId xmlns:a16="http://schemas.microsoft.com/office/drawing/2014/main" id="{00000000-0008-0000-0100-0000B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3" name="TextBox 432">
          <a:extLst>
            <a:ext uri="{FF2B5EF4-FFF2-40B4-BE49-F238E27FC236}">
              <a16:creationId xmlns:a16="http://schemas.microsoft.com/office/drawing/2014/main" id="{00000000-0008-0000-0100-0000B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4" name="TextBox 433">
          <a:extLst>
            <a:ext uri="{FF2B5EF4-FFF2-40B4-BE49-F238E27FC236}">
              <a16:creationId xmlns:a16="http://schemas.microsoft.com/office/drawing/2014/main" id="{00000000-0008-0000-0100-0000B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5" name="TextBox 434">
          <a:extLst>
            <a:ext uri="{FF2B5EF4-FFF2-40B4-BE49-F238E27FC236}">
              <a16:creationId xmlns:a16="http://schemas.microsoft.com/office/drawing/2014/main" id="{00000000-0008-0000-0100-0000B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6" name="TextBox 435">
          <a:extLst>
            <a:ext uri="{FF2B5EF4-FFF2-40B4-BE49-F238E27FC236}">
              <a16:creationId xmlns:a16="http://schemas.microsoft.com/office/drawing/2014/main" id="{00000000-0008-0000-0100-0000B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7" name="TextBox 436">
          <a:extLst>
            <a:ext uri="{FF2B5EF4-FFF2-40B4-BE49-F238E27FC236}">
              <a16:creationId xmlns:a16="http://schemas.microsoft.com/office/drawing/2014/main" id="{00000000-0008-0000-0100-0000B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8" name="TextBox 437">
          <a:extLst>
            <a:ext uri="{FF2B5EF4-FFF2-40B4-BE49-F238E27FC236}">
              <a16:creationId xmlns:a16="http://schemas.microsoft.com/office/drawing/2014/main" id="{00000000-0008-0000-0100-0000B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9" name="TextBox 438">
          <a:extLst>
            <a:ext uri="{FF2B5EF4-FFF2-40B4-BE49-F238E27FC236}">
              <a16:creationId xmlns:a16="http://schemas.microsoft.com/office/drawing/2014/main" id="{00000000-0008-0000-0100-0000B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0" name="TextBox 439">
          <a:extLst>
            <a:ext uri="{FF2B5EF4-FFF2-40B4-BE49-F238E27FC236}">
              <a16:creationId xmlns:a16="http://schemas.microsoft.com/office/drawing/2014/main" id="{00000000-0008-0000-0100-0000B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1" name="TextBox 440">
          <a:extLst>
            <a:ext uri="{FF2B5EF4-FFF2-40B4-BE49-F238E27FC236}">
              <a16:creationId xmlns:a16="http://schemas.microsoft.com/office/drawing/2014/main" id="{00000000-0008-0000-0100-0000B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2" name="TextBox 441">
          <a:extLst>
            <a:ext uri="{FF2B5EF4-FFF2-40B4-BE49-F238E27FC236}">
              <a16:creationId xmlns:a16="http://schemas.microsoft.com/office/drawing/2014/main" id="{00000000-0008-0000-0100-0000B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3" name="TextBox 442">
          <a:extLst>
            <a:ext uri="{FF2B5EF4-FFF2-40B4-BE49-F238E27FC236}">
              <a16:creationId xmlns:a16="http://schemas.microsoft.com/office/drawing/2014/main" id="{00000000-0008-0000-0100-0000B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4" name="TextBox 443">
          <a:extLst>
            <a:ext uri="{FF2B5EF4-FFF2-40B4-BE49-F238E27FC236}">
              <a16:creationId xmlns:a16="http://schemas.microsoft.com/office/drawing/2014/main" id="{00000000-0008-0000-0100-0000B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5" name="TextBox 444">
          <a:extLst>
            <a:ext uri="{FF2B5EF4-FFF2-40B4-BE49-F238E27FC236}">
              <a16:creationId xmlns:a16="http://schemas.microsoft.com/office/drawing/2014/main" id="{00000000-0008-0000-0100-0000B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6" name="TextBox 445">
          <a:extLst>
            <a:ext uri="{FF2B5EF4-FFF2-40B4-BE49-F238E27FC236}">
              <a16:creationId xmlns:a16="http://schemas.microsoft.com/office/drawing/2014/main" id="{00000000-0008-0000-0100-0000B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7" name="TextBox 446">
          <a:extLst>
            <a:ext uri="{FF2B5EF4-FFF2-40B4-BE49-F238E27FC236}">
              <a16:creationId xmlns:a16="http://schemas.microsoft.com/office/drawing/2014/main" id="{00000000-0008-0000-0100-0000B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8" name="TextBox 447">
          <a:extLst>
            <a:ext uri="{FF2B5EF4-FFF2-40B4-BE49-F238E27FC236}">
              <a16:creationId xmlns:a16="http://schemas.microsoft.com/office/drawing/2014/main" id="{00000000-0008-0000-0100-0000C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9" name="TextBox 448">
          <a:extLst>
            <a:ext uri="{FF2B5EF4-FFF2-40B4-BE49-F238E27FC236}">
              <a16:creationId xmlns:a16="http://schemas.microsoft.com/office/drawing/2014/main" id="{00000000-0008-0000-0100-0000C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0" name="TextBox 449">
          <a:extLst>
            <a:ext uri="{FF2B5EF4-FFF2-40B4-BE49-F238E27FC236}">
              <a16:creationId xmlns:a16="http://schemas.microsoft.com/office/drawing/2014/main" id="{00000000-0008-0000-0100-0000C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1" name="TextBox 450">
          <a:extLst>
            <a:ext uri="{FF2B5EF4-FFF2-40B4-BE49-F238E27FC236}">
              <a16:creationId xmlns:a16="http://schemas.microsoft.com/office/drawing/2014/main" id="{00000000-0008-0000-0100-0000C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2" name="TextBox 451">
          <a:extLst>
            <a:ext uri="{FF2B5EF4-FFF2-40B4-BE49-F238E27FC236}">
              <a16:creationId xmlns:a16="http://schemas.microsoft.com/office/drawing/2014/main" id="{00000000-0008-0000-0100-0000C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3" name="TextBox 452">
          <a:extLst>
            <a:ext uri="{FF2B5EF4-FFF2-40B4-BE49-F238E27FC236}">
              <a16:creationId xmlns:a16="http://schemas.microsoft.com/office/drawing/2014/main" id="{00000000-0008-0000-0100-0000C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4" name="TextBox 453">
          <a:extLst>
            <a:ext uri="{FF2B5EF4-FFF2-40B4-BE49-F238E27FC236}">
              <a16:creationId xmlns:a16="http://schemas.microsoft.com/office/drawing/2014/main" id="{00000000-0008-0000-0100-0000C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5" name="TextBox 454">
          <a:extLst>
            <a:ext uri="{FF2B5EF4-FFF2-40B4-BE49-F238E27FC236}">
              <a16:creationId xmlns:a16="http://schemas.microsoft.com/office/drawing/2014/main" id="{00000000-0008-0000-0100-0000C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6" name="TextBox 455">
          <a:extLst>
            <a:ext uri="{FF2B5EF4-FFF2-40B4-BE49-F238E27FC236}">
              <a16:creationId xmlns:a16="http://schemas.microsoft.com/office/drawing/2014/main" id="{00000000-0008-0000-0100-0000C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7" name="TextBox 456">
          <a:extLst>
            <a:ext uri="{FF2B5EF4-FFF2-40B4-BE49-F238E27FC236}">
              <a16:creationId xmlns:a16="http://schemas.microsoft.com/office/drawing/2014/main" id="{00000000-0008-0000-0100-0000C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8" name="TextBox 457">
          <a:extLst>
            <a:ext uri="{FF2B5EF4-FFF2-40B4-BE49-F238E27FC236}">
              <a16:creationId xmlns:a16="http://schemas.microsoft.com/office/drawing/2014/main" id="{00000000-0008-0000-0100-0000C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9" name="TextBox 458">
          <a:extLst>
            <a:ext uri="{FF2B5EF4-FFF2-40B4-BE49-F238E27FC236}">
              <a16:creationId xmlns:a16="http://schemas.microsoft.com/office/drawing/2014/main" id="{00000000-0008-0000-0100-0000C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0" name="TextBox 459">
          <a:extLst>
            <a:ext uri="{FF2B5EF4-FFF2-40B4-BE49-F238E27FC236}">
              <a16:creationId xmlns:a16="http://schemas.microsoft.com/office/drawing/2014/main" id="{00000000-0008-0000-0100-0000C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1" name="TextBox 460">
          <a:extLst>
            <a:ext uri="{FF2B5EF4-FFF2-40B4-BE49-F238E27FC236}">
              <a16:creationId xmlns:a16="http://schemas.microsoft.com/office/drawing/2014/main" id="{00000000-0008-0000-0100-0000C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2" name="TextBox 461">
          <a:extLst>
            <a:ext uri="{FF2B5EF4-FFF2-40B4-BE49-F238E27FC236}">
              <a16:creationId xmlns:a16="http://schemas.microsoft.com/office/drawing/2014/main" id="{00000000-0008-0000-0100-0000C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3" name="TextBox 462">
          <a:extLst>
            <a:ext uri="{FF2B5EF4-FFF2-40B4-BE49-F238E27FC236}">
              <a16:creationId xmlns:a16="http://schemas.microsoft.com/office/drawing/2014/main" id="{00000000-0008-0000-0100-0000C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4" name="TextBox 463">
          <a:extLst>
            <a:ext uri="{FF2B5EF4-FFF2-40B4-BE49-F238E27FC236}">
              <a16:creationId xmlns:a16="http://schemas.microsoft.com/office/drawing/2014/main" id="{00000000-0008-0000-0100-0000D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5" name="TextBox 464">
          <a:extLst>
            <a:ext uri="{FF2B5EF4-FFF2-40B4-BE49-F238E27FC236}">
              <a16:creationId xmlns:a16="http://schemas.microsoft.com/office/drawing/2014/main" id="{00000000-0008-0000-0100-0000D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6" name="TextBox 465">
          <a:extLst>
            <a:ext uri="{FF2B5EF4-FFF2-40B4-BE49-F238E27FC236}">
              <a16:creationId xmlns:a16="http://schemas.microsoft.com/office/drawing/2014/main" id="{00000000-0008-0000-0100-0000D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7" name="TextBox 466">
          <a:extLst>
            <a:ext uri="{FF2B5EF4-FFF2-40B4-BE49-F238E27FC236}">
              <a16:creationId xmlns:a16="http://schemas.microsoft.com/office/drawing/2014/main" id="{00000000-0008-0000-0100-0000D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8" name="TextBox 467">
          <a:extLst>
            <a:ext uri="{FF2B5EF4-FFF2-40B4-BE49-F238E27FC236}">
              <a16:creationId xmlns:a16="http://schemas.microsoft.com/office/drawing/2014/main" id="{00000000-0008-0000-0100-0000D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9" name="TextBox 468">
          <a:extLst>
            <a:ext uri="{FF2B5EF4-FFF2-40B4-BE49-F238E27FC236}">
              <a16:creationId xmlns:a16="http://schemas.microsoft.com/office/drawing/2014/main" id="{00000000-0008-0000-0100-0000D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0" name="TextBox 469">
          <a:extLst>
            <a:ext uri="{FF2B5EF4-FFF2-40B4-BE49-F238E27FC236}">
              <a16:creationId xmlns:a16="http://schemas.microsoft.com/office/drawing/2014/main" id="{00000000-0008-0000-0100-0000D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1" name="TextBox 470">
          <a:extLst>
            <a:ext uri="{FF2B5EF4-FFF2-40B4-BE49-F238E27FC236}">
              <a16:creationId xmlns:a16="http://schemas.microsoft.com/office/drawing/2014/main" id="{00000000-0008-0000-0100-0000D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2" name="TextBox 471">
          <a:extLst>
            <a:ext uri="{FF2B5EF4-FFF2-40B4-BE49-F238E27FC236}">
              <a16:creationId xmlns:a16="http://schemas.microsoft.com/office/drawing/2014/main" id="{00000000-0008-0000-0100-0000D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3" name="TextBox 472">
          <a:extLst>
            <a:ext uri="{FF2B5EF4-FFF2-40B4-BE49-F238E27FC236}">
              <a16:creationId xmlns:a16="http://schemas.microsoft.com/office/drawing/2014/main" id="{00000000-0008-0000-0100-0000D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4" name="TextBox 473">
          <a:extLst>
            <a:ext uri="{FF2B5EF4-FFF2-40B4-BE49-F238E27FC236}">
              <a16:creationId xmlns:a16="http://schemas.microsoft.com/office/drawing/2014/main" id="{00000000-0008-0000-0100-0000D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5" name="TextBox 474">
          <a:extLst>
            <a:ext uri="{FF2B5EF4-FFF2-40B4-BE49-F238E27FC236}">
              <a16:creationId xmlns:a16="http://schemas.microsoft.com/office/drawing/2014/main" id="{00000000-0008-0000-0100-0000D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6" name="TextBox 475">
          <a:extLst>
            <a:ext uri="{FF2B5EF4-FFF2-40B4-BE49-F238E27FC236}">
              <a16:creationId xmlns:a16="http://schemas.microsoft.com/office/drawing/2014/main" id="{00000000-0008-0000-0100-0000D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7" name="TextBox 476">
          <a:extLst>
            <a:ext uri="{FF2B5EF4-FFF2-40B4-BE49-F238E27FC236}">
              <a16:creationId xmlns:a16="http://schemas.microsoft.com/office/drawing/2014/main" id="{00000000-0008-0000-0100-0000D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8" name="TextBox 477">
          <a:extLst>
            <a:ext uri="{FF2B5EF4-FFF2-40B4-BE49-F238E27FC236}">
              <a16:creationId xmlns:a16="http://schemas.microsoft.com/office/drawing/2014/main" id="{00000000-0008-0000-0100-0000D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9" name="TextBox 478">
          <a:extLst>
            <a:ext uri="{FF2B5EF4-FFF2-40B4-BE49-F238E27FC236}">
              <a16:creationId xmlns:a16="http://schemas.microsoft.com/office/drawing/2014/main" id="{00000000-0008-0000-0100-0000D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0" name="TextBox 479">
          <a:extLst>
            <a:ext uri="{FF2B5EF4-FFF2-40B4-BE49-F238E27FC236}">
              <a16:creationId xmlns:a16="http://schemas.microsoft.com/office/drawing/2014/main" id="{00000000-0008-0000-0100-0000E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1" name="TextBox 480">
          <a:extLst>
            <a:ext uri="{FF2B5EF4-FFF2-40B4-BE49-F238E27FC236}">
              <a16:creationId xmlns:a16="http://schemas.microsoft.com/office/drawing/2014/main" id="{00000000-0008-0000-0100-0000E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2" name="TextBox 481">
          <a:extLst>
            <a:ext uri="{FF2B5EF4-FFF2-40B4-BE49-F238E27FC236}">
              <a16:creationId xmlns:a16="http://schemas.microsoft.com/office/drawing/2014/main" id="{00000000-0008-0000-0100-0000E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3" name="TextBox 482">
          <a:extLst>
            <a:ext uri="{FF2B5EF4-FFF2-40B4-BE49-F238E27FC236}">
              <a16:creationId xmlns:a16="http://schemas.microsoft.com/office/drawing/2014/main" id="{00000000-0008-0000-0100-0000E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4" name="TextBox 483">
          <a:extLst>
            <a:ext uri="{FF2B5EF4-FFF2-40B4-BE49-F238E27FC236}">
              <a16:creationId xmlns:a16="http://schemas.microsoft.com/office/drawing/2014/main" id="{00000000-0008-0000-0100-0000E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5" name="TextBox 484">
          <a:extLst>
            <a:ext uri="{FF2B5EF4-FFF2-40B4-BE49-F238E27FC236}">
              <a16:creationId xmlns:a16="http://schemas.microsoft.com/office/drawing/2014/main" id="{00000000-0008-0000-0100-0000E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6" name="TextBox 485">
          <a:extLst>
            <a:ext uri="{FF2B5EF4-FFF2-40B4-BE49-F238E27FC236}">
              <a16:creationId xmlns:a16="http://schemas.microsoft.com/office/drawing/2014/main" id="{00000000-0008-0000-0100-0000E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7" name="TextBox 486">
          <a:extLst>
            <a:ext uri="{FF2B5EF4-FFF2-40B4-BE49-F238E27FC236}">
              <a16:creationId xmlns:a16="http://schemas.microsoft.com/office/drawing/2014/main" id="{00000000-0008-0000-0100-0000E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8" name="TextBox 487">
          <a:extLst>
            <a:ext uri="{FF2B5EF4-FFF2-40B4-BE49-F238E27FC236}">
              <a16:creationId xmlns:a16="http://schemas.microsoft.com/office/drawing/2014/main" id="{00000000-0008-0000-0100-0000E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9" name="TextBox 488">
          <a:extLst>
            <a:ext uri="{FF2B5EF4-FFF2-40B4-BE49-F238E27FC236}">
              <a16:creationId xmlns:a16="http://schemas.microsoft.com/office/drawing/2014/main" id="{00000000-0008-0000-0100-0000E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0" name="TextBox 489">
          <a:extLst>
            <a:ext uri="{FF2B5EF4-FFF2-40B4-BE49-F238E27FC236}">
              <a16:creationId xmlns:a16="http://schemas.microsoft.com/office/drawing/2014/main" id="{00000000-0008-0000-0100-0000E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1" name="TextBox 490">
          <a:extLst>
            <a:ext uri="{FF2B5EF4-FFF2-40B4-BE49-F238E27FC236}">
              <a16:creationId xmlns:a16="http://schemas.microsoft.com/office/drawing/2014/main" id="{00000000-0008-0000-0100-0000E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2" name="TextBox 491">
          <a:extLst>
            <a:ext uri="{FF2B5EF4-FFF2-40B4-BE49-F238E27FC236}">
              <a16:creationId xmlns:a16="http://schemas.microsoft.com/office/drawing/2014/main" id="{00000000-0008-0000-0100-0000E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3" name="TextBox 492">
          <a:extLst>
            <a:ext uri="{FF2B5EF4-FFF2-40B4-BE49-F238E27FC236}">
              <a16:creationId xmlns:a16="http://schemas.microsoft.com/office/drawing/2014/main" id="{00000000-0008-0000-0100-0000E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4" name="TextBox 493">
          <a:extLst>
            <a:ext uri="{FF2B5EF4-FFF2-40B4-BE49-F238E27FC236}">
              <a16:creationId xmlns:a16="http://schemas.microsoft.com/office/drawing/2014/main" id="{00000000-0008-0000-0100-0000E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5" name="TextBox 494">
          <a:extLst>
            <a:ext uri="{FF2B5EF4-FFF2-40B4-BE49-F238E27FC236}">
              <a16:creationId xmlns:a16="http://schemas.microsoft.com/office/drawing/2014/main" id="{00000000-0008-0000-0100-0000E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6" name="TextBox 495">
          <a:extLst>
            <a:ext uri="{FF2B5EF4-FFF2-40B4-BE49-F238E27FC236}">
              <a16:creationId xmlns:a16="http://schemas.microsoft.com/office/drawing/2014/main" id="{00000000-0008-0000-0100-0000F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7" name="TextBox 496">
          <a:extLst>
            <a:ext uri="{FF2B5EF4-FFF2-40B4-BE49-F238E27FC236}">
              <a16:creationId xmlns:a16="http://schemas.microsoft.com/office/drawing/2014/main" id="{00000000-0008-0000-0100-0000F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8" name="TextBox 497">
          <a:extLst>
            <a:ext uri="{FF2B5EF4-FFF2-40B4-BE49-F238E27FC236}">
              <a16:creationId xmlns:a16="http://schemas.microsoft.com/office/drawing/2014/main" id="{00000000-0008-0000-0100-0000F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9" name="TextBox 498">
          <a:extLst>
            <a:ext uri="{FF2B5EF4-FFF2-40B4-BE49-F238E27FC236}">
              <a16:creationId xmlns:a16="http://schemas.microsoft.com/office/drawing/2014/main" id="{00000000-0008-0000-0100-0000F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0" name="TextBox 499">
          <a:extLst>
            <a:ext uri="{FF2B5EF4-FFF2-40B4-BE49-F238E27FC236}">
              <a16:creationId xmlns:a16="http://schemas.microsoft.com/office/drawing/2014/main" id="{00000000-0008-0000-0100-0000F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1" name="TextBox 500">
          <a:extLst>
            <a:ext uri="{FF2B5EF4-FFF2-40B4-BE49-F238E27FC236}">
              <a16:creationId xmlns:a16="http://schemas.microsoft.com/office/drawing/2014/main" id="{00000000-0008-0000-0100-0000F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2" name="TextBox 501">
          <a:extLst>
            <a:ext uri="{FF2B5EF4-FFF2-40B4-BE49-F238E27FC236}">
              <a16:creationId xmlns:a16="http://schemas.microsoft.com/office/drawing/2014/main" id="{00000000-0008-0000-0100-0000F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3" name="TextBox 502">
          <a:extLst>
            <a:ext uri="{FF2B5EF4-FFF2-40B4-BE49-F238E27FC236}">
              <a16:creationId xmlns:a16="http://schemas.microsoft.com/office/drawing/2014/main" id="{00000000-0008-0000-0100-0000F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4" name="TextBox 503">
          <a:extLst>
            <a:ext uri="{FF2B5EF4-FFF2-40B4-BE49-F238E27FC236}">
              <a16:creationId xmlns:a16="http://schemas.microsoft.com/office/drawing/2014/main" id="{00000000-0008-0000-0100-0000F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18</xdr:col>
      <xdr:colOff>304800</xdr:colOff>
      <xdr:row>2</xdr:row>
      <xdr:rowOff>57149</xdr:rowOff>
    </xdr:from>
    <xdr:to>
      <xdr:col>22</xdr:col>
      <xdr:colOff>247650</xdr:colOff>
      <xdr:row>16</xdr:row>
      <xdr:rowOff>150273</xdr:rowOff>
    </xdr:to>
    <xdr:pic>
      <xdr:nvPicPr>
        <xdr:cNvPr id="359" name="Picture 358">
          <a:extLst>
            <a:ext uri="{FF2B5EF4-FFF2-40B4-BE49-F238E27FC236}">
              <a16:creationId xmlns:a16="http://schemas.microsoft.com/office/drawing/2014/main" id="{00000000-0008-0000-0100-000067010000}"/>
            </a:ext>
          </a:extLst>
        </xdr:cNvPr>
        <xdr:cNvPicPr>
          <a:picLocks noChangeAspect="1"/>
        </xdr:cNvPicPr>
      </xdr:nvPicPr>
      <xdr:blipFill>
        <a:blip xmlns:r="http://schemas.openxmlformats.org/officeDocument/2006/relationships" r:embed="rId1"/>
        <a:stretch>
          <a:fillRect/>
        </a:stretch>
      </xdr:blipFill>
      <xdr:spPr>
        <a:xfrm>
          <a:off x="12649200" y="2124074"/>
          <a:ext cx="2686050" cy="2360074"/>
        </a:xfrm>
        <a:prstGeom prst="rect">
          <a:avLst/>
        </a:prstGeom>
        <a:ln>
          <a:solidFill>
            <a:schemeClr val="tx1"/>
          </a:solidFill>
        </a:ln>
      </xdr:spPr>
    </xdr:pic>
    <xdr:clientData/>
  </xdr:twoCellAnchor>
  <xdr:oneCellAnchor>
    <xdr:from>
      <xdr:col>18</xdr:col>
      <xdr:colOff>575095</xdr:colOff>
      <xdr:row>1</xdr:row>
      <xdr:rowOff>0</xdr:rowOff>
    </xdr:from>
    <xdr:ext cx="184731" cy="264560"/>
    <xdr:sp macro="" textlink="">
      <xdr:nvSpPr>
        <xdr:cNvPr id="524" name="TextBox 523">
          <a:extLst>
            <a:ext uri="{FF2B5EF4-FFF2-40B4-BE49-F238E27FC236}">
              <a16:creationId xmlns:a16="http://schemas.microsoft.com/office/drawing/2014/main" id="{00000000-0008-0000-0100-00000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5" name="TextBox 524">
          <a:extLst>
            <a:ext uri="{FF2B5EF4-FFF2-40B4-BE49-F238E27FC236}">
              <a16:creationId xmlns:a16="http://schemas.microsoft.com/office/drawing/2014/main" id="{00000000-0008-0000-0100-00000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6" name="TextBox 525">
          <a:extLst>
            <a:ext uri="{FF2B5EF4-FFF2-40B4-BE49-F238E27FC236}">
              <a16:creationId xmlns:a16="http://schemas.microsoft.com/office/drawing/2014/main" id="{00000000-0008-0000-0100-00000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7" name="TextBox 526">
          <a:extLst>
            <a:ext uri="{FF2B5EF4-FFF2-40B4-BE49-F238E27FC236}">
              <a16:creationId xmlns:a16="http://schemas.microsoft.com/office/drawing/2014/main" id="{00000000-0008-0000-0100-00000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8" name="TextBox 527">
          <a:extLst>
            <a:ext uri="{FF2B5EF4-FFF2-40B4-BE49-F238E27FC236}">
              <a16:creationId xmlns:a16="http://schemas.microsoft.com/office/drawing/2014/main" id="{00000000-0008-0000-0100-00001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9" name="TextBox 528">
          <a:extLst>
            <a:ext uri="{FF2B5EF4-FFF2-40B4-BE49-F238E27FC236}">
              <a16:creationId xmlns:a16="http://schemas.microsoft.com/office/drawing/2014/main" id="{00000000-0008-0000-0100-00001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0" name="TextBox 529">
          <a:extLst>
            <a:ext uri="{FF2B5EF4-FFF2-40B4-BE49-F238E27FC236}">
              <a16:creationId xmlns:a16="http://schemas.microsoft.com/office/drawing/2014/main" id="{00000000-0008-0000-0100-00001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1" name="TextBox 530">
          <a:extLst>
            <a:ext uri="{FF2B5EF4-FFF2-40B4-BE49-F238E27FC236}">
              <a16:creationId xmlns:a16="http://schemas.microsoft.com/office/drawing/2014/main" id="{00000000-0008-0000-0100-00001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2" name="TextBox 531">
          <a:extLst>
            <a:ext uri="{FF2B5EF4-FFF2-40B4-BE49-F238E27FC236}">
              <a16:creationId xmlns:a16="http://schemas.microsoft.com/office/drawing/2014/main" id="{00000000-0008-0000-0100-00001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3" name="TextBox 532">
          <a:extLst>
            <a:ext uri="{FF2B5EF4-FFF2-40B4-BE49-F238E27FC236}">
              <a16:creationId xmlns:a16="http://schemas.microsoft.com/office/drawing/2014/main" id="{00000000-0008-0000-0100-00001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4" name="TextBox 533">
          <a:extLst>
            <a:ext uri="{FF2B5EF4-FFF2-40B4-BE49-F238E27FC236}">
              <a16:creationId xmlns:a16="http://schemas.microsoft.com/office/drawing/2014/main" id="{00000000-0008-0000-0100-00001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5" name="TextBox 534">
          <a:extLst>
            <a:ext uri="{FF2B5EF4-FFF2-40B4-BE49-F238E27FC236}">
              <a16:creationId xmlns:a16="http://schemas.microsoft.com/office/drawing/2014/main" id="{00000000-0008-0000-0100-000017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6" name="TextBox 535">
          <a:extLst>
            <a:ext uri="{FF2B5EF4-FFF2-40B4-BE49-F238E27FC236}">
              <a16:creationId xmlns:a16="http://schemas.microsoft.com/office/drawing/2014/main" id="{00000000-0008-0000-0100-00001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7" name="TextBox 536">
          <a:extLst>
            <a:ext uri="{FF2B5EF4-FFF2-40B4-BE49-F238E27FC236}">
              <a16:creationId xmlns:a16="http://schemas.microsoft.com/office/drawing/2014/main" id="{00000000-0008-0000-0100-00001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8" name="TextBox 537">
          <a:extLst>
            <a:ext uri="{FF2B5EF4-FFF2-40B4-BE49-F238E27FC236}">
              <a16:creationId xmlns:a16="http://schemas.microsoft.com/office/drawing/2014/main" id="{00000000-0008-0000-0100-00001A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9" name="TextBox 538">
          <a:extLst>
            <a:ext uri="{FF2B5EF4-FFF2-40B4-BE49-F238E27FC236}">
              <a16:creationId xmlns:a16="http://schemas.microsoft.com/office/drawing/2014/main" id="{00000000-0008-0000-0100-00001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0" name="TextBox 539">
          <a:extLst>
            <a:ext uri="{FF2B5EF4-FFF2-40B4-BE49-F238E27FC236}">
              <a16:creationId xmlns:a16="http://schemas.microsoft.com/office/drawing/2014/main" id="{00000000-0008-0000-0100-00001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1" name="TextBox 540">
          <a:extLst>
            <a:ext uri="{FF2B5EF4-FFF2-40B4-BE49-F238E27FC236}">
              <a16:creationId xmlns:a16="http://schemas.microsoft.com/office/drawing/2014/main" id="{00000000-0008-0000-0100-00001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2" name="TextBox 541">
          <a:extLst>
            <a:ext uri="{FF2B5EF4-FFF2-40B4-BE49-F238E27FC236}">
              <a16:creationId xmlns:a16="http://schemas.microsoft.com/office/drawing/2014/main" id="{00000000-0008-0000-0100-00001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3" name="TextBox 542">
          <a:extLst>
            <a:ext uri="{FF2B5EF4-FFF2-40B4-BE49-F238E27FC236}">
              <a16:creationId xmlns:a16="http://schemas.microsoft.com/office/drawing/2014/main" id="{00000000-0008-0000-0100-00001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4" name="TextBox 543">
          <a:extLst>
            <a:ext uri="{FF2B5EF4-FFF2-40B4-BE49-F238E27FC236}">
              <a16:creationId xmlns:a16="http://schemas.microsoft.com/office/drawing/2014/main" id="{00000000-0008-0000-0100-00002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5" name="TextBox 544">
          <a:extLst>
            <a:ext uri="{FF2B5EF4-FFF2-40B4-BE49-F238E27FC236}">
              <a16:creationId xmlns:a16="http://schemas.microsoft.com/office/drawing/2014/main" id="{00000000-0008-0000-0100-00002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6" name="TextBox 545">
          <a:extLst>
            <a:ext uri="{FF2B5EF4-FFF2-40B4-BE49-F238E27FC236}">
              <a16:creationId xmlns:a16="http://schemas.microsoft.com/office/drawing/2014/main" id="{00000000-0008-0000-0100-00002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7" name="TextBox 546">
          <a:extLst>
            <a:ext uri="{FF2B5EF4-FFF2-40B4-BE49-F238E27FC236}">
              <a16:creationId xmlns:a16="http://schemas.microsoft.com/office/drawing/2014/main" id="{00000000-0008-0000-0100-00002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8" name="TextBox 547">
          <a:extLst>
            <a:ext uri="{FF2B5EF4-FFF2-40B4-BE49-F238E27FC236}">
              <a16:creationId xmlns:a16="http://schemas.microsoft.com/office/drawing/2014/main" id="{00000000-0008-0000-0100-00002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9" name="TextBox 548">
          <a:extLst>
            <a:ext uri="{FF2B5EF4-FFF2-40B4-BE49-F238E27FC236}">
              <a16:creationId xmlns:a16="http://schemas.microsoft.com/office/drawing/2014/main" id="{00000000-0008-0000-0100-00002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0" name="TextBox 549">
          <a:extLst>
            <a:ext uri="{FF2B5EF4-FFF2-40B4-BE49-F238E27FC236}">
              <a16:creationId xmlns:a16="http://schemas.microsoft.com/office/drawing/2014/main" id="{00000000-0008-0000-0100-00002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1" name="TextBox 550">
          <a:extLst>
            <a:ext uri="{FF2B5EF4-FFF2-40B4-BE49-F238E27FC236}">
              <a16:creationId xmlns:a16="http://schemas.microsoft.com/office/drawing/2014/main" id="{00000000-0008-0000-0100-00002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2" name="TextBox 551">
          <a:extLst>
            <a:ext uri="{FF2B5EF4-FFF2-40B4-BE49-F238E27FC236}">
              <a16:creationId xmlns:a16="http://schemas.microsoft.com/office/drawing/2014/main" id="{00000000-0008-0000-0100-00002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3" name="TextBox 552">
          <a:extLst>
            <a:ext uri="{FF2B5EF4-FFF2-40B4-BE49-F238E27FC236}">
              <a16:creationId xmlns:a16="http://schemas.microsoft.com/office/drawing/2014/main" id="{00000000-0008-0000-0100-00002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4" name="TextBox 553">
          <a:extLst>
            <a:ext uri="{FF2B5EF4-FFF2-40B4-BE49-F238E27FC236}">
              <a16:creationId xmlns:a16="http://schemas.microsoft.com/office/drawing/2014/main" id="{00000000-0008-0000-0100-00002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5" name="TextBox 554">
          <a:extLst>
            <a:ext uri="{FF2B5EF4-FFF2-40B4-BE49-F238E27FC236}">
              <a16:creationId xmlns:a16="http://schemas.microsoft.com/office/drawing/2014/main" id="{00000000-0008-0000-0100-00002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6" name="TextBox 555">
          <a:extLst>
            <a:ext uri="{FF2B5EF4-FFF2-40B4-BE49-F238E27FC236}">
              <a16:creationId xmlns:a16="http://schemas.microsoft.com/office/drawing/2014/main" id="{00000000-0008-0000-0100-00002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7" name="TextBox 556">
          <a:extLst>
            <a:ext uri="{FF2B5EF4-FFF2-40B4-BE49-F238E27FC236}">
              <a16:creationId xmlns:a16="http://schemas.microsoft.com/office/drawing/2014/main" id="{00000000-0008-0000-0100-00002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8" name="TextBox 557">
          <a:extLst>
            <a:ext uri="{FF2B5EF4-FFF2-40B4-BE49-F238E27FC236}">
              <a16:creationId xmlns:a16="http://schemas.microsoft.com/office/drawing/2014/main" id="{00000000-0008-0000-0100-00002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9" name="TextBox 558">
          <a:extLst>
            <a:ext uri="{FF2B5EF4-FFF2-40B4-BE49-F238E27FC236}">
              <a16:creationId xmlns:a16="http://schemas.microsoft.com/office/drawing/2014/main" id="{00000000-0008-0000-0100-00002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0" name="TextBox 559">
          <a:extLst>
            <a:ext uri="{FF2B5EF4-FFF2-40B4-BE49-F238E27FC236}">
              <a16:creationId xmlns:a16="http://schemas.microsoft.com/office/drawing/2014/main" id="{00000000-0008-0000-0100-00003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1" name="TextBox 560">
          <a:extLst>
            <a:ext uri="{FF2B5EF4-FFF2-40B4-BE49-F238E27FC236}">
              <a16:creationId xmlns:a16="http://schemas.microsoft.com/office/drawing/2014/main" id="{00000000-0008-0000-0100-00003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2" name="TextBox 561">
          <a:extLst>
            <a:ext uri="{FF2B5EF4-FFF2-40B4-BE49-F238E27FC236}">
              <a16:creationId xmlns:a16="http://schemas.microsoft.com/office/drawing/2014/main" id="{00000000-0008-0000-0100-00003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3" name="TextBox 562">
          <a:extLst>
            <a:ext uri="{FF2B5EF4-FFF2-40B4-BE49-F238E27FC236}">
              <a16:creationId xmlns:a16="http://schemas.microsoft.com/office/drawing/2014/main" id="{00000000-0008-0000-0100-00003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4" name="TextBox 563">
          <a:extLst>
            <a:ext uri="{FF2B5EF4-FFF2-40B4-BE49-F238E27FC236}">
              <a16:creationId xmlns:a16="http://schemas.microsoft.com/office/drawing/2014/main" id="{00000000-0008-0000-0100-00003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5" name="TextBox 564">
          <a:extLst>
            <a:ext uri="{FF2B5EF4-FFF2-40B4-BE49-F238E27FC236}">
              <a16:creationId xmlns:a16="http://schemas.microsoft.com/office/drawing/2014/main" id="{00000000-0008-0000-0100-00003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6" name="TextBox 565">
          <a:extLst>
            <a:ext uri="{FF2B5EF4-FFF2-40B4-BE49-F238E27FC236}">
              <a16:creationId xmlns:a16="http://schemas.microsoft.com/office/drawing/2014/main" id="{00000000-0008-0000-0100-00003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7" name="TextBox 566">
          <a:extLst>
            <a:ext uri="{FF2B5EF4-FFF2-40B4-BE49-F238E27FC236}">
              <a16:creationId xmlns:a16="http://schemas.microsoft.com/office/drawing/2014/main" id="{00000000-0008-0000-0100-00003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8" name="TextBox 567">
          <a:extLst>
            <a:ext uri="{FF2B5EF4-FFF2-40B4-BE49-F238E27FC236}">
              <a16:creationId xmlns:a16="http://schemas.microsoft.com/office/drawing/2014/main" id="{00000000-0008-0000-0100-00003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9" name="TextBox 568">
          <a:extLst>
            <a:ext uri="{FF2B5EF4-FFF2-40B4-BE49-F238E27FC236}">
              <a16:creationId xmlns:a16="http://schemas.microsoft.com/office/drawing/2014/main" id="{00000000-0008-0000-0100-00003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0" name="TextBox 569">
          <a:extLst>
            <a:ext uri="{FF2B5EF4-FFF2-40B4-BE49-F238E27FC236}">
              <a16:creationId xmlns:a16="http://schemas.microsoft.com/office/drawing/2014/main" id="{00000000-0008-0000-0100-00003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1" name="TextBox 570">
          <a:extLst>
            <a:ext uri="{FF2B5EF4-FFF2-40B4-BE49-F238E27FC236}">
              <a16:creationId xmlns:a16="http://schemas.microsoft.com/office/drawing/2014/main" id="{00000000-0008-0000-0100-00003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2" name="TextBox 571">
          <a:extLst>
            <a:ext uri="{FF2B5EF4-FFF2-40B4-BE49-F238E27FC236}">
              <a16:creationId xmlns:a16="http://schemas.microsoft.com/office/drawing/2014/main" id="{00000000-0008-0000-0100-00003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3" name="TextBox 572">
          <a:extLst>
            <a:ext uri="{FF2B5EF4-FFF2-40B4-BE49-F238E27FC236}">
              <a16:creationId xmlns:a16="http://schemas.microsoft.com/office/drawing/2014/main" id="{00000000-0008-0000-0100-00003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4" name="TextBox 573">
          <a:extLst>
            <a:ext uri="{FF2B5EF4-FFF2-40B4-BE49-F238E27FC236}">
              <a16:creationId xmlns:a16="http://schemas.microsoft.com/office/drawing/2014/main" id="{00000000-0008-0000-0100-00003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5" name="TextBox 574">
          <a:extLst>
            <a:ext uri="{FF2B5EF4-FFF2-40B4-BE49-F238E27FC236}">
              <a16:creationId xmlns:a16="http://schemas.microsoft.com/office/drawing/2014/main" id="{00000000-0008-0000-0100-00003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6" name="TextBox 575">
          <a:extLst>
            <a:ext uri="{FF2B5EF4-FFF2-40B4-BE49-F238E27FC236}">
              <a16:creationId xmlns:a16="http://schemas.microsoft.com/office/drawing/2014/main" id="{00000000-0008-0000-0100-00004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7" name="TextBox 576">
          <a:extLst>
            <a:ext uri="{FF2B5EF4-FFF2-40B4-BE49-F238E27FC236}">
              <a16:creationId xmlns:a16="http://schemas.microsoft.com/office/drawing/2014/main" id="{00000000-0008-0000-0100-00004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8" name="TextBox 577">
          <a:extLst>
            <a:ext uri="{FF2B5EF4-FFF2-40B4-BE49-F238E27FC236}">
              <a16:creationId xmlns:a16="http://schemas.microsoft.com/office/drawing/2014/main" id="{00000000-0008-0000-0100-00004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9" name="TextBox 578">
          <a:extLst>
            <a:ext uri="{FF2B5EF4-FFF2-40B4-BE49-F238E27FC236}">
              <a16:creationId xmlns:a16="http://schemas.microsoft.com/office/drawing/2014/main" id="{00000000-0008-0000-0100-00004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0" name="TextBox 579">
          <a:extLst>
            <a:ext uri="{FF2B5EF4-FFF2-40B4-BE49-F238E27FC236}">
              <a16:creationId xmlns:a16="http://schemas.microsoft.com/office/drawing/2014/main" id="{00000000-0008-0000-0100-00004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1" name="TextBox 580">
          <a:extLst>
            <a:ext uri="{FF2B5EF4-FFF2-40B4-BE49-F238E27FC236}">
              <a16:creationId xmlns:a16="http://schemas.microsoft.com/office/drawing/2014/main" id="{00000000-0008-0000-0100-00004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2" name="TextBox 581">
          <a:extLst>
            <a:ext uri="{FF2B5EF4-FFF2-40B4-BE49-F238E27FC236}">
              <a16:creationId xmlns:a16="http://schemas.microsoft.com/office/drawing/2014/main" id="{00000000-0008-0000-0100-00004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3" name="TextBox 582">
          <a:extLst>
            <a:ext uri="{FF2B5EF4-FFF2-40B4-BE49-F238E27FC236}">
              <a16:creationId xmlns:a16="http://schemas.microsoft.com/office/drawing/2014/main" id="{00000000-0008-0000-0100-00004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4" name="TextBox 583">
          <a:extLst>
            <a:ext uri="{FF2B5EF4-FFF2-40B4-BE49-F238E27FC236}">
              <a16:creationId xmlns:a16="http://schemas.microsoft.com/office/drawing/2014/main" id="{00000000-0008-0000-0100-00004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5" name="TextBox 584">
          <a:extLst>
            <a:ext uri="{FF2B5EF4-FFF2-40B4-BE49-F238E27FC236}">
              <a16:creationId xmlns:a16="http://schemas.microsoft.com/office/drawing/2014/main" id="{00000000-0008-0000-0100-00004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6" name="TextBox 585">
          <a:extLst>
            <a:ext uri="{FF2B5EF4-FFF2-40B4-BE49-F238E27FC236}">
              <a16:creationId xmlns:a16="http://schemas.microsoft.com/office/drawing/2014/main" id="{00000000-0008-0000-0100-00004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7" name="TextBox 586">
          <a:extLst>
            <a:ext uri="{FF2B5EF4-FFF2-40B4-BE49-F238E27FC236}">
              <a16:creationId xmlns:a16="http://schemas.microsoft.com/office/drawing/2014/main" id="{00000000-0008-0000-0100-00004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8" name="TextBox 587">
          <a:extLst>
            <a:ext uri="{FF2B5EF4-FFF2-40B4-BE49-F238E27FC236}">
              <a16:creationId xmlns:a16="http://schemas.microsoft.com/office/drawing/2014/main" id="{00000000-0008-0000-0100-00004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9" name="TextBox 588">
          <a:extLst>
            <a:ext uri="{FF2B5EF4-FFF2-40B4-BE49-F238E27FC236}">
              <a16:creationId xmlns:a16="http://schemas.microsoft.com/office/drawing/2014/main" id="{00000000-0008-0000-0100-00004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0" name="TextBox 589">
          <a:extLst>
            <a:ext uri="{FF2B5EF4-FFF2-40B4-BE49-F238E27FC236}">
              <a16:creationId xmlns:a16="http://schemas.microsoft.com/office/drawing/2014/main" id="{00000000-0008-0000-0100-00004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1" name="TextBox 590">
          <a:extLst>
            <a:ext uri="{FF2B5EF4-FFF2-40B4-BE49-F238E27FC236}">
              <a16:creationId xmlns:a16="http://schemas.microsoft.com/office/drawing/2014/main" id="{00000000-0008-0000-0100-00004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2" name="TextBox 591">
          <a:extLst>
            <a:ext uri="{FF2B5EF4-FFF2-40B4-BE49-F238E27FC236}">
              <a16:creationId xmlns:a16="http://schemas.microsoft.com/office/drawing/2014/main" id="{00000000-0008-0000-0100-00005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3" name="TextBox 592">
          <a:extLst>
            <a:ext uri="{FF2B5EF4-FFF2-40B4-BE49-F238E27FC236}">
              <a16:creationId xmlns:a16="http://schemas.microsoft.com/office/drawing/2014/main" id="{00000000-0008-0000-0100-00005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4" name="TextBox 593">
          <a:extLst>
            <a:ext uri="{FF2B5EF4-FFF2-40B4-BE49-F238E27FC236}">
              <a16:creationId xmlns:a16="http://schemas.microsoft.com/office/drawing/2014/main" id="{00000000-0008-0000-0100-00005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5" name="TextBox 594">
          <a:extLst>
            <a:ext uri="{FF2B5EF4-FFF2-40B4-BE49-F238E27FC236}">
              <a16:creationId xmlns:a16="http://schemas.microsoft.com/office/drawing/2014/main" id="{00000000-0008-0000-0100-00005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6" name="TextBox 595">
          <a:extLst>
            <a:ext uri="{FF2B5EF4-FFF2-40B4-BE49-F238E27FC236}">
              <a16:creationId xmlns:a16="http://schemas.microsoft.com/office/drawing/2014/main" id="{00000000-0008-0000-0100-00005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7" name="TextBox 596">
          <a:extLst>
            <a:ext uri="{FF2B5EF4-FFF2-40B4-BE49-F238E27FC236}">
              <a16:creationId xmlns:a16="http://schemas.microsoft.com/office/drawing/2014/main" id="{00000000-0008-0000-0100-00005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8" name="TextBox 597">
          <a:extLst>
            <a:ext uri="{FF2B5EF4-FFF2-40B4-BE49-F238E27FC236}">
              <a16:creationId xmlns:a16="http://schemas.microsoft.com/office/drawing/2014/main" id="{00000000-0008-0000-0100-00005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9" name="TextBox 598">
          <a:extLst>
            <a:ext uri="{FF2B5EF4-FFF2-40B4-BE49-F238E27FC236}">
              <a16:creationId xmlns:a16="http://schemas.microsoft.com/office/drawing/2014/main" id="{00000000-0008-0000-0100-00005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0" name="TextBox 599">
          <a:extLst>
            <a:ext uri="{FF2B5EF4-FFF2-40B4-BE49-F238E27FC236}">
              <a16:creationId xmlns:a16="http://schemas.microsoft.com/office/drawing/2014/main" id="{00000000-0008-0000-0100-00005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1" name="TextBox 600">
          <a:extLst>
            <a:ext uri="{FF2B5EF4-FFF2-40B4-BE49-F238E27FC236}">
              <a16:creationId xmlns:a16="http://schemas.microsoft.com/office/drawing/2014/main" id="{00000000-0008-0000-0100-00005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2" name="TextBox 601">
          <a:extLst>
            <a:ext uri="{FF2B5EF4-FFF2-40B4-BE49-F238E27FC236}">
              <a16:creationId xmlns:a16="http://schemas.microsoft.com/office/drawing/2014/main" id="{00000000-0008-0000-0100-00005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3" name="TextBox 602">
          <a:extLst>
            <a:ext uri="{FF2B5EF4-FFF2-40B4-BE49-F238E27FC236}">
              <a16:creationId xmlns:a16="http://schemas.microsoft.com/office/drawing/2014/main" id="{00000000-0008-0000-0100-00005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4" name="TextBox 603">
          <a:extLst>
            <a:ext uri="{FF2B5EF4-FFF2-40B4-BE49-F238E27FC236}">
              <a16:creationId xmlns:a16="http://schemas.microsoft.com/office/drawing/2014/main" id="{00000000-0008-0000-0100-00005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5" name="TextBox 604">
          <a:extLst>
            <a:ext uri="{FF2B5EF4-FFF2-40B4-BE49-F238E27FC236}">
              <a16:creationId xmlns:a16="http://schemas.microsoft.com/office/drawing/2014/main" id="{00000000-0008-0000-0100-00005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6" name="TextBox 605">
          <a:extLst>
            <a:ext uri="{FF2B5EF4-FFF2-40B4-BE49-F238E27FC236}">
              <a16:creationId xmlns:a16="http://schemas.microsoft.com/office/drawing/2014/main" id="{00000000-0008-0000-0100-00005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7" name="TextBox 606">
          <a:extLst>
            <a:ext uri="{FF2B5EF4-FFF2-40B4-BE49-F238E27FC236}">
              <a16:creationId xmlns:a16="http://schemas.microsoft.com/office/drawing/2014/main" id="{00000000-0008-0000-0100-00005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8" name="TextBox 607">
          <a:extLst>
            <a:ext uri="{FF2B5EF4-FFF2-40B4-BE49-F238E27FC236}">
              <a16:creationId xmlns:a16="http://schemas.microsoft.com/office/drawing/2014/main" id="{00000000-0008-0000-0100-00006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9" name="TextBox 608">
          <a:extLst>
            <a:ext uri="{FF2B5EF4-FFF2-40B4-BE49-F238E27FC236}">
              <a16:creationId xmlns:a16="http://schemas.microsoft.com/office/drawing/2014/main" id="{00000000-0008-0000-0100-00006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0" name="TextBox 609">
          <a:extLst>
            <a:ext uri="{FF2B5EF4-FFF2-40B4-BE49-F238E27FC236}">
              <a16:creationId xmlns:a16="http://schemas.microsoft.com/office/drawing/2014/main" id="{00000000-0008-0000-0100-00006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1" name="TextBox 610">
          <a:extLst>
            <a:ext uri="{FF2B5EF4-FFF2-40B4-BE49-F238E27FC236}">
              <a16:creationId xmlns:a16="http://schemas.microsoft.com/office/drawing/2014/main" id="{00000000-0008-0000-0100-00006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2" name="TextBox 611">
          <a:extLst>
            <a:ext uri="{FF2B5EF4-FFF2-40B4-BE49-F238E27FC236}">
              <a16:creationId xmlns:a16="http://schemas.microsoft.com/office/drawing/2014/main" id="{00000000-0008-0000-0100-00006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3" name="TextBox 612">
          <a:extLst>
            <a:ext uri="{FF2B5EF4-FFF2-40B4-BE49-F238E27FC236}">
              <a16:creationId xmlns:a16="http://schemas.microsoft.com/office/drawing/2014/main" id="{00000000-0008-0000-0100-00006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4" name="TextBox 613">
          <a:extLst>
            <a:ext uri="{FF2B5EF4-FFF2-40B4-BE49-F238E27FC236}">
              <a16:creationId xmlns:a16="http://schemas.microsoft.com/office/drawing/2014/main" id="{00000000-0008-0000-0100-00006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5" name="TextBox 614">
          <a:extLst>
            <a:ext uri="{FF2B5EF4-FFF2-40B4-BE49-F238E27FC236}">
              <a16:creationId xmlns:a16="http://schemas.microsoft.com/office/drawing/2014/main" id="{00000000-0008-0000-0100-00006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6" name="TextBox 615">
          <a:extLst>
            <a:ext uri="{FF2B5EF4-FFF2-40B4-BE49-F238E27FC236}">
              <a16:creationId xmlns:a16="http://schemas.microsoft.com/office/drawing/2014/main" id="{00000000-0008-0000-0100-00006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7" name="TextBox 616">
          <a:extLst>
            <a:ext uri="{FF2B5EF4-FFF2-40B4-BE49-F238E27FC236}">
              <a16:creationId xmlns:a16="http://schemas.microsoft.com/office/drawing/2014/main" id="{00000000-0008-0000-0100-00006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8" name="TextBox 617">
          <a:extLst>
            <a:ext uri="{FF2B5EF4-FFF2-40B4-BE49-F238E27FC236}">
              <a16:creationId xmlns:a16="http://schemas.microsoft.com/office/drawing/2014/main" id="{00000000-0008-0000-0100-00006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9" name="TextBox 618">
          <a:extLst>
            <a:ext uri="{FF2B5EF4-FFF2-40B4-BE49-F238E27FC236}">
              <a16:creationId xmlns:a16="http://schemas.microsoft.com/office/drawing/2014/main" id="{00000000-0008-0000-0100-00006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0" name="TextBox 619">
          <a:extLst>
            <a:ext uri="{FF2B5EF4-FFF2-40B4-BE49-F238E27FC236}">
              <a16:creationId xmlns:a16="http://schemas.microsoft.com/office/drawing/2014/main" id="{00000000-0008-0000-0100-00006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1" name="TextBox 620">
          <a:extLst>
            <a:ext uri="{FF2B5EF4-FFF2-40B4-BE49-F238E27FC236}">
              <a16:creationId xmlns:a16="http://schemas.microsoft.com/office/drawing/2014/main" id="{00000000-0008-0000-0100-00006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2" name="TextBox 621">
          <a:extLst>
            <a:ext uri="{FF2B5EF4-FFF2-40B4-BE49-F238E27FC236}">
              <a16:creationId xmlns:a16="http://schemas.microsoft.com/office/drawing/2014/main" id="{00000000-0008-0000-0100-00006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3" name="TextBox 622">
          <a:extLst>
            <a:ext uri="{FF2B5EF4-FFF2-40B4-BE49-F238E27FC236}">
              <a16:creationId xmlns:a16="http://schemas.microsoft.com/office/drawing/2014/main" id="{00000000-0008-0000-0100-00006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4" name="TextBox 623">
          <a:extLst>
            <a:ext uri="{FF2B5EF4-FFF2-40B4-BE49-F238E27FC236}">
              <a16:creationId xmlns:a16="http://schemas.microsoft.com/office/drawing/2014/main" id="{00000000-0008-0000-0100-00007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5" name="TextBox 624">
          <a:extLst>
            <a:ext uri="{FF2B5EF4-FFF2-40B4-BE49-F238E27FC236}">
              <a16:creationId xmlns:a16="http://schemas.microsoft.com/office/drawing/2014/main" id="{00000000-0008-0000-0100-00007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6" name="TextBox 625">
          <a:extLst>
            <a:ext uri="{FF2B5EF4-FFF2-40B4-BE49-F238E27FC236}">
              <a16:creationId xmlns:a16="http://schemas.microsoft.com/office/drawing/2014/main" id="{00000000-0008-0000-0100-00007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7" name="TextBox 626">
          <a:extLst>
            <a:ext uri="{FF2B5EF4-FFF2-40B4-BE49-F238E27FC236}">
              <a16:creationId xmlns:a16="http://schemas.microsoft.com/office/drawing/2014/main" id="{00000000-0008-0000-0100-00007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8" name="TextBox 627">
          <a:extLst>
            <a:ext uri="{FF2B5EF4-FFF2-40B4-BE49-F238E27FC236}">
              <a16:creationId xmlns:a16="http://schemas.microsoft.com/office/drawing/2014/main" id="{00000000-0008-0000-0100-00007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9" name="TextBox 628">
          <a:extLst>
            <a:ext uri="{FF2B5EF4-FFF2-40B4-BE49-F238E27FC236}">
              <a16:creationId xmlns:a16="http://schemas.microsoft.com/office/drawing/2014/main" id="{00000000-0008-0000-0100-00007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0" name="TextBox 629">
          <a:extLst>
            <a:ext uri="{FF2B5EF4-FFF2-40B4-BE49-F238E27FC236}">
              <a16:creationId xmlns:a16="http://schemas.microsoft.com/office/drawing/2014/main" id="{00000000-0008-0000-0100-00007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1" name="TextBox 630">
          <a:extLst>
            <a:ext uri="{FF2B5EF4-FFF2-40B4-BE49-F238E27FC236}">
              <a16:creationId xmlns:a16="http://schemas.microsoft.com/office/drawing/2014/main" id="{00000000-0008-0000-0100-00007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2" name="TextBox 631">
          <a:extLst>
            <a:ext uri="{FF2B5EF4-FFF2-40B4-BE49-F238E27FC236}">
              <a16:creationId xmlns:a16="http://schemas.microsoft.com/office/drawing/2014/main" id="{00000000-0008-0000-0100-00007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3" name="TextBox 632">
          <a:extLst>
            <a:ext uri="{FF2B5EF4-FFF2-40B4-BE49-F238E27FC236}">
              <a16:creationId xmlns:a16="http://schemas.microsoft.com/office/drawing/2014/main" id="{00000000-0008-0000-0100-00007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4" name="TextBox 633">
          <a:extLst>
            <a:ext uri="{FF2B5EF4-FFF2-40B4-BE49-F238E27FC236}">
              <a16:creationId xmlns:a16="http://schemas.microsoft.com/office/drawing/2014/main" id="{00000000-0008-0000-0100-00007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5" name="TextBox 634">
          <a:extLst>
            <a:ext uri="{FF2B5EF4-FFF2-40B4-BE49-F238E27FC236}">
              <a16:creationId xmlns:a16="http://schemas.microsoft.com/office/drawing/2014/main" id="{00000000-0008-0000-0100-00007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6" name="TextBox 635">
          <a:extLst>
            <a:ext uri="{FF2B5EF4-FFF2-40B4-BE49-F238E27FC236}">
              <a16:creationId xmlns:a16="http://schemas.microsoft.com/office/drawing/2014/main" id="{00000000-0008-0000-0100-00007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7" name="TextBox 636">
          <a:extLst>
            <a:ext uri="{FF2B5EF4-FFF2-40B4-BE49-F238E27FC236}">
              <a16:creationId xmlns:a16="http://schemas.microsoft.com/office/drawing/2014/main" id="{00000000-0008-0000-0100-00007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8" name="TextBox 637">
          <a:extLst>
            <a:ext uri="{FF2B5EF4-FFF2-40B4-BE49-F238E27FC236}">
              <a16:creationId xmlns:a16="http://schemas.microsoft.com/office/drawing/2014/main" id="{00000000-0008-0000-0100-00007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9" name="TextBox 638">
          <a:extLst>
            <a:ext uri="{FF2B5EF4-FFF2-40B4-BE49-F238E27FC236}">
              <a16:creationId xmlns:a16="http://schemas.microsoft.com/office/drawing/2014/main" id="{00000000-0008-0000-0100-00007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0" name="TextBox 639">
          <a:extLst>
            <a:ext uri="{FF2B5EF4-FFF2-40B4-BE49-F238E27FC236}">
              <a16:creationId xmlns:a16="http://schemas.microsoft.com/office/drawing/2014/main" id="{00000000-0008-0000-0100-00008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1" name="TextBox 640">
          <a:extLst>
            <a:ext uri="{FF2B5EF4-FFF2-40B4-BE49-F238E27FC236}">
              <a16:creationId xmlns:a16="http://schemas.microsoft.com/office/drawing/2014/main" id="{00000000-0008-0000-0100-00008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2" name="TextBox 641">
          <a:extLst>
            <a:ext uri="{FF2B5EF4-FFF2-40B4-BE49-F238E27FC236}">
              <a16:creationId xmlns:a16="http://schemas.microsoft.com/office/drawing/2014/main" id="{00000000-0008-0000-0100-00008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3" name="TextBox 642">
          <a:extLst>
            <a:ext uri="{FF2B5EF4-FFF2-40B4-BE49-F238E27FC236}">
              <a16:creationId xmlns:a16="http://schemas.microsoft.com/office/drawing/2014/main" id="{00000000-0008-0000-0100-00008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4" name="TextBox 643">
          <a:extLst>
            <a:ext uri="{FF2B5EF4-FFF2-40B4-BE49-F238E27FC236}">
              <a16:creationId xmlns:a16="http://schemas.microsoft.com/office/drawing/2014/main" id="{00000000-0008-0000-0100-00008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5" name="TextBox 644">
          <a:extLst>
            <a:ext uri="{FF2B5EF4-FFF2-40B4-BE49-F238E27FC236}">
              <a16:creationId xmlns:a16="http://schemas.microsoft.com/office/drawing/2014/main" id="{00000000-0008-0000-0100-00008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6" name="TextBox 645">
          <a:extLst>
            <a:ext uri="{FF2B5EF4-FFF2-40B4-BE49-F238E27FC236}">
              <a16:creationId xmlns:a16="http://schemas.microsoft.com/office/drawing/2014/main" id="{00000000-0008-0000-0100-00008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7" name="TextBox 646">
          <a:extLst>
            <a:ext uri="{FF2B5EF4-FFF2-40B4-BE49-F238E27FC236}">
              <a16:creationId xmlns:a16="http://schemas.microsoft.com/office/drawing/2014/main" id="{00000000-0008-0000-0100-00008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8" name="TextBox 647">
          <a:extLst>
            <a:ext uri="{FF2B5EF4-FFF2-40B4-BE49-F238E27FC236}">
              <a16:creationId xmlns:a16="http://schemas.microsoft.com/office/drawing/2014/main" id="{00000000-0008-0000-0100-00008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9" name="TextBox 648">
          <a:extLst>
            <a:ext uri="{FF2B5EF4-FFF2-40B4-BE49-F238E27FC236}">
              <a16:creationId xmlns:a16="http://schemas.microsoft.com/office/drawing/2014/main" id="{00000000-0008-0000-0100-00008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0" name="TextBox 649">
          <a:extLst>
            <a:ext uri="{FF2B5EF4-FFF2-40B4-BE49-F238E27FC236}">
              <a16:creationId xmlns:a16="http://schemas.microsoft.com/office/drawing/2014/main" id="{00000000-0008-0000-0100-00008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1" name="TextBox 650">
          <a:extLst>
            <a:ext uri="{FF2B5EF4-FFF2-40B4-BE49-F238E27FC236}">
              <a16:creationId xmlns:a16="http://schemas.microsoft.com/office/drawing/2014/main" id="{00000000-0008-0000-0100-00008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2" name="TextBox 651">
          <a:extLst>
            <a:ext uri="{FF2B5EF4-FFF2-40B4-BE49-F238E27FC236}">
              <a16:creationId xmlns:a16="http://schemas.microsoft.com/office/drawing/2014/main" id="{00000000-0008-0000-0100-00008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3" name="TextBox 652">
          <a:extLst>
            <a:ext uri="{FF2B5EF4-FFF2-40B4-BE49-F238E27FC236}">
              <a16:creationId xmlns:a16="http://schemas.microsoft.com/office/drawing/2014/main" id="{00000000-0008-0000-0100-00008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4" name="TextBox 653">
          <a:extLst>
            <a:ext uri="{FF2B5EF4-FFF2-40B4-BE49-F238E27FC236}">
              <a16:creationId xmlns:a16="http://schemas.microsoft.com/office/drawing/2014/main" id="{00000000-0008-0000-0100-00008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5" name="TextBox 654">
          <a:extLst>
            <a:ext uri="{FF2B5EF4-FFF2-40B4-BE49-F238E27FC236}">
              <a16:creationId xmlns:a16="http://schemas.microsoft.com/office/drawing/2014/main" id="{00000000-0008-0000-0100-00008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6" name="TextBox 655">
          <a:extLst>
            <a:ext uri="{FF2B5EF4-FFF2-40B4-BE49-F238E27FC236}">
              <a16:creationId xmlns:a16="http://schemas.microsoft.com/office/drawing/2014/main" id="{00000000-0008-0000-0100-00009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7" name="TextBox 656">
          <a:extLst>
            <a:ext uri="{FF2B5EF4-FFF2-40B4-BE49-F238E27FC236}">
              <a16:creationId xmlns:a16="http://schemas.microsoft.com/office/drawing/2014/main" id="{00000000-0008-0000-0100-00009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8" name="TextBox 657">
          <a:extLst>
            <a:ext uri="{FF2B5EF4-FFF2-40B4-BE49-F238E27FC236}">
              <a16:creationId xmlns:a16="http://schemas.microsoft.com/office/drawing/2014/main" id="{00000000-0008-0000-0100-00009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0</xdr:colOff>
      <xdr:row>0</xdr:row>
      <xdr:rowOff>0</xdr:rowOff>
    </xdr:from>
    <xdr:to>
      <xdr:col>23</xdr:col>
      <xdr:colOff>0</xdr:colOff>
      <xdr:row>1</xdr:row>
      <xdr:rowOff>12095</xdr:rowOff>
    </xdr:to>
    <xdr:pic>
      <xdr:nvPicPr>
        <xdr:cNvPr id="505" name="Picture 504">
          <a:extLst>
            <a:ext uri="{FF2B5EF4-FFF2-40B4-BE49-F238E27FC236}">
              <a16:creationId xmlns:a16="http://schemas.microsoft.com/office/drawing/2014/main" id="{FBB259A5-6FBF-4A83-98F1-9F40EE37F017}"/>
            </a:ext>
          </a:extLst>
        </xdr:cNvPr>
        <xdr:cNvPicPr>
          <a:picLocks noChangeAspect="1"/>
        </xdr:cNvPicPr>
      </xdr:nvPicPr>
      <xdr:blipFill>
        <a:blip xmlns:r="http://schemas.openxmlformats.org/officeDocument/2006/relationships" r:embed="rId2"/>
        <a:stretch>
          <a:fillRect/>
        </a:stretch>
      </xdr:blipFill>
      <xdr:spPr>
        <a:xfrm>
          <a:off x="0" y="0"/>
          <a:ext cx="15773400" cy="217427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7DAC-D9C0-4E82-BDF5-0D8B0C15E8EB}">
  <dimension ref="A1:W62"/>
  <sheetViews>
    <sheetView tabSelected="1" topLeftCell="A18" workbookViewId="0">
      <selection activeCell="L34" sqref="L34"/>
    </sheetView>
  </sheetViews>
  <sheetFormatPr defaultRowHeight="14.25" x14ac:dyDescent="0.2"/>
  <cols>
    <col min="1" max="2" width="9" style="36"/>
    <col min="3" max="3" width="12" style="36" bestFit="1" customWidth="1"/>
    <col min="4" max="8" width="9" style="36"/>
    <col min="9" max="9" width="9.5" style="36" bestFit="1" customWidth="1"/>
    <col min="10" max="12" width="9" style="36"/>
    <col min="13" max="13" width="10" style="36" bestFit="1" customWidth="1"/>
    <col min="14"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row r="2" spans="1:23" ht="19.5" x14ac:dyDescent="0.2">
      <c r="A2" s="235" t="s">
        <v>0</v>
      </c>
      <c r="B2" s="236"/>
      <c r="C2" s="236"/>
      <c r="D2" s="236"/>
      <c r="E2" s="236"/>
      <c r="F2" s="236"/>
      <c r="G2" s="236"/>
      <c r="H2" s="235" t="s">
        <v>1</v>
      </c>
      <c r="I2" s="236"/>
      <c r="J2" s="236"/>
      <c r="K2" s="236"/>
      <c r="L2" s="236"/>
      <c r="M2" s="236"/>
      <c r="N2" s="237"/>
      <c r="O2" s="238" t="s">
        <v>2</v>
      </c>
      <c r="P2" s="238"/>
      <c r="Q2" s="238"/>
      <c r="R2" s="238"/>
      <c r="S2" s="238"/>
      <c r="T2" s="238"/>
      <c r="U2" s="238"/>
      <c r="V2" s="238"/>
      <c r="W2" s="239"/>
    </row>
    <row r="3" spans="1:23" ht="12.75" customHeight="1" x14ac:dyDescent="0.2">
      <c r="A3" s="23" t="s">
        <v>3</v>
      </c>
      <c r="B3" s="16"/>
      <c r="C3" s="16"/>
      <c r="D3" s="16"/>
      <c r="E3" s="37">
        <v>21.6</v>
      </c>
      <c r="F3" s="24"/>
      <c r="G3" s="16"/>
      <c r="H3" s="23" t="s">
        <v>47</v>
      </c>
      <c r="I3" s="16"/>
      <c r="J3" s="16"/>
      <c r="K3" s="31"/>
      <c r="L3" s="15"/>
      <c r="M3" s="16"/>
      <c r="N3" s="1"/>
      <c r="O3" s="15" t="s">
        <v>4</v>
      </c>
      <c r="P3" s="15"/>
      <c r="Q3" s="15"/>
      <c r="R3" s="16"/>
      <c r="S3" s="16"/>
      <c r="T3" s="16"/>
      <c r="U3" s="16"/>
      <c r="V3" s="16"/>
      <c r="W3" s="17"/>
    </row>
    <row r="4" spans="1:23" ht="12.75" customHeight="1" x14ac:dyDescent="0.2">
      <c r="A4" s="25" t="s">
        <v>5</v>
      </c>
      <c r="B4" s="19"/>
      <c r="C4" s="19"/>
      <c r="D4" s="19"/>
      <c r="E4" s="26">
        <v>0.21</v>
      </c>
      <c r="F4" s="19"/>
      <c r="G4" s="19"/>
      <c r="H4" s="32" t="s">
        <v>6</v>
      </c>
      <c r="I4" s="33"/>
      <c r="J4" s="34"/>
      <c r="K4" s="35" t="s">
        <v>7</v>
      </c>
      <c r="L4" s="18"/>
      <c r="M4" s="19"/>
      <c r="N4" s="4"/>
      <c r="O4" s="18" t="s">
        <v>45</v>
      </c>
      <c r="P4" s="18"/>
      <c r="Q4" s="18"/>
      <c r="R4" s="19"/>
      <c r="S4" s="19"/>
      <c r="T4" s="19"/>
      <c r="U4" s="19"/>
      <c r="V4" s="19"/>
      <c r="W4" s="20"/>
    </row>
    <row r="5" spans="1:23" ht="12.75" customHeight="1" x14ac:dyDescent="0.2">
      <c r="A5" s="25" t="s">
        <v>8</v>
      </c>
      <c r="B5" s="19"/>
      <c r="C5" s="19"/>
      <c r="D5" s="19"/>
      <c r="E5" s="18" t="s">
        <v>9</v>
      </c>
      <c r="F5" s="19"/>
      <c r="G5" s="19"/>
      <c r="H5" s="25" t="s">
        <v>10</v>
      </c>
      <c r="I5" s="19"/>
      <c r="J5" s="19"/>
      <c r="K5" s="19"/>
      <c r="L5" s="18"/>
      <c r="M5" s="19"/>
      <c r="N5" s="4"/>
      <c r="O5" s="19"/>
      <c r="P5" s="18"/>
      <c r="Q5" s="18"/>
      <c r="R5" s="19"/>
      <c r="S5" s="19"/>
      <c r="T5" s="19"/>
      <c r="U5" s="19"/>
      <c r="V5" s="19"/>
      <c r="W5" s="20"/>
    </row>
    <row r="6" spans="1:23" ht="12.75" customHeight="1" x14ac:dyDescent="0.2">
      <c r="A6" s="25" t="s">
        <v>11</v>
      </c>
      <c r="B6" s="19"/>
      <c r="C6" s="19"/>
      <c r="D6" s="19"/>
      <c r="E6" s="18" t="s">
        <v>12</v>
      </c>
      <c r="F6" s="19"/>
      <c r="G6" s="19"/>
      <c r="H6" s="42"/>
      <c r="I6" s="43" t="s">
        <v>13</v>
      </c>
      <c r="J6" s="44"/>
      <c r="K6" s="45"/>
      <c r="L6" s="43" t="s">
        <v>14</v>
      </c>
      <c r="M6" s="44"/>
      <c r="N6" s="45"/>
      <c r="O6" s="21" t="s">
        <v>15</v>
      </c>
      <c r="P6" s="18"/>
      <c r="Q6" s="18"/>
      <c r="R6" s="19"/>
      <c r="S6" s="19"/>
      <c r="T6" s="19"/>
      <c r="U6" s="19"/>
      <c r="V6" s="19"/>
      <c r="W6" s="20"/>
    </row>
    <row r="7" spans="1:23" ht="12.75" customHeight="1" x14ac:dyDescent="0.2">
      <c r="A7" s="25" t="s">
        <v>16</v>
      </c>
      <c r="B7" s="19"/>
      <c r="C7" s="19"/>
      <c r="D7" s="19"/>
      <c r="E7" s="18" t="s">
        <v>54</v>
      </c>
      <c r="F7" s="18"/>
      <c r="G7" s="34"/>
      <c r="H7" s="46" t="s">
        <v>17</v>
      </c>
      <c r="I7" s="47" t="s">
        <v>49</v>
      </c>
      <c r="J7" s="48"/>
      <c r="K7" s="49"/>
      <c r="L7" s="47" t="s">
        <v>20</v>
      </c>
      <c r="M7" s="50" t="s">
        <v>21</v>
      </c>
      <c r="N7" s="51" t="s">
        <v>22</v>
      </c>
      <c r="O7" s="18" t="s">
        <v>46</v>
      </c>
      <c r="P7" s="18"/>
      <c r="Q7" s="18"/>
      <c r="R7" s="19"/>
      <c r="S7" s="19"/>
      <c r="T7" s="19"/>
      <c r="U7" s="19"/>
      <c r="V7" s="19"/>
      <c r="W7" s="20"/>
    </row>
    <row r="8" spans="1:23" ht="12.75" customHeight="1" x14ac:dyDescent="0.2">
      <c r="A8" s="25" t="s">
        <v>23</v>
      </c>
      <c r="B8" s="19"/>
      <c r="C8" s="19"/>
      <c r="D8" s="19"/>
      <c r="E8" s="18" t="s">
        <v>52</v>
      </c>
      <c r="F8" s="19"/>
      <c r="G8" s="52"/>
      <c r="H8" s="218">
        <v>45798</v>
      </c>
      <c r="I8" s="219">
        <v>4499.9070000000002</v>
      </c>
      <c r="J8" s="220" t="s">
        <v>57</v>
      </c>
      <c r="K8" s="221" t="s">
        <v>58</v>
      </c>
      <c r="L8" s="222">
        <v>22.2</v>
      </c>
      <c r="M8" s="223">
        <v>0.24</v>
      </c>
      <c r="N8" s="224" t="s">
        <v>59</v>
      </c>
      <c r="O8" s="19"/>
      <c r="P8" s="18"/>
      <c r="Q8" s="18"/>
      <c r="R8" s="19"/>
      <c r="S8" s="19"/>
      <c r="T8" s="19"/>
      <c r="U8" s="19"/>
      <c r="V8" s="19"/>
      <c r="W8" s="20"/>
    </row>
    <row r="9" spans="1:23" ht="12.75" customHeight="1" x14ac:dyDescent="0.2">
      <c r="A9" s="25"/>
      <c r="B9" s="19"/>
      <c r="C9" s="19"/>
      <c r="D9" s="19"/>
      <c r="E9" s="18" t="s">
        <v>53</v>
      </c>
      <c r="F9" s="19"/>
      <c r="G9" s="53"/>
      <c r="H9" s="227">
        <v>45804</v>
      </c>
      <c r="I9" s="228">
        <v>4499.9970000000003</v>
      </c>
      <c r="J9" s="232">
        <v>3.3999999999999998E-3</v>
      </c>
      <c r="K9" s="229">
        <v>3.1E-2</v>
      </c>
      <c r="L9" s="228">
        <v>22.5</v>
      </c>
      <c r="M9" s="230">
        <v>0.24</v>
      </c>
      <c r="N9" s="229" t="s">
        <v>60</v>
      </c>
      <c r="O9" s="186" t="s">
        <v>24</v>
      </c>
      <c r="P9" s="18"/>
      <c r="Q9" s="18"/>
      <c r="R9" s="19"/>
      <c r="S9" s="19"/>
      <c r="T9" s="19"/>
      <c r="U9" s="19"/>
      <c r="V9" s="19"/>
      <c r="W9" s="20"/>
    </row>
    <row r="10" spans="1:23" ht="12.75" customHeight="1" x14ac:dyDescent="0.2">
      <c r="A10" s="25"/>
      <c r="B10" s="19"/>
      <c r="C10" s="19"/>
      <c r="D10" s="19"/>
      <c r="E10" s="18"/>
      <c r="F10" s="19"/>
      <c r="G10" s="19"/>
      <c r="H10" s="187"/>
      <c r="I10" s="188"/>
      <c r="J10" s="189"/>
      <c r="K10" s="190"/>
      <c r="L10" s="188"/>
      <c r="M10" s="191"/>
      <c r="N10" s="192"/>
      <c r="O10" s="186" t="s">
        <v>25</v>
      </c>
      <c r="P10" s="22"/>
      <c r="Q10" s="22"/>
      <c r="R10" s="19"/>
      <c r="S10" s="19"/>
      <c r="T10" s="19"/>
      <c r="U10" s="19"/>
      <c r="V10" s="19"/>
      <c r="W10" s="20"/>
    </row>
    <row r="11" spans="1:23" ht="12.75" customHeight="1" x14ac:dyDescent="0.2">
      <c r="A11" s="25" t="s">
        <v>26</v>
      </c>
      <c r="B11" s="19"/>
      <c r="C11" s="18"/>
      <c r="D11" s="18"/>
      <c r="E11" s="18" t="s">
        <v>50</v>
      </c>
      <c r="F11" s="19"/>
      <c r="G11" s="34"/>
      <c r="H11" s="168"/>
      <c r="I11" s="169"/>
      <c r="J11" s="169"/>
      <c r="K11" s="170"/>
      <c r="L11" s="165"/>
      <c r="M11" s="166"/>
      <c r="N11" s="167"/>
      <c r="O11" s="186" t="s">
        <v>48</v>
      </c>
      <c r="P11" s="22"/>
      <c r="Q11" s="22"/>
      <c r="R11" s="19"/>
      <c r="S11" s="19"/>
      <c r="T11" s="19"/>
      <c r="U11" s="19"/>
      <c r="V11" s="19"/>
      <c r="W11" s="20"/>
    </row>
    <row r="12" spans="1:23" ht="12.75" customHeight="1" x14ac:dyDescent="0.2">
      <c r="A12" s="25" t="s">
        <v>27</v>
      </c>
      <c r="B12" s="19"/>
      <c r="C12" s="19"/>
      <c r="D12" s="19"/>
      <c r="E12" s="18" t="s">
        <v>51</v>
      </c>
      <c r="F12" s="19"/>
      <c r="G12" s="52"/>
      <c r="H12" s="54"/>
      <c r="I12" s="55"/>
      <c r="J12" s="56"/>
      <c r="K12" s="56"/>
      <c r="L12" s="57"/>
      <c r="M12" s="58"/>
      <c r="N12" s="59"/>
      <c r="O12" s="186"/>
      <c r="P12" s="21"/>
      <c r="Q12" s="22"/>
      <c r="R12" s="22"/>
      <c r="S12" s="22"/>
      <c r="T12" s="19"/>
      <c r="U12" s="19"/>
      <c r="V12" s="19"/>
      <c r="W12" s="20"/>
    </row>
    <row r="13" spans="1:23" ht="12.75" customHeight="1" x14ac:dyDescent="0.2">
      <c r="A13" s="27"/>
      <c r="B13" s="19"/>
      <c r="C13" s="19"/>
      <c r="D13" s="19"/>
      <c r="E13" s="18"/>
      <c r="F13" s="19"/>
      <c r="G13" s="53"/>
      <c r="H13" s="2"/>
      <c r="I13" s="3"/>
      <c r="J13" s="3"/>
      <c r="K13" s="6"/>
      <c r="L13" s="5"/>
      <c r="M13" s="3"/>
      <c r="N13" s="4"/>
      <c r="O13" s="186" t="s">
        <v>28</v>
      </c>
      <c r="P13" s="21"/>
      <c r="Q13" s="22"/>
      <c r="R13" s="22"/>
      <c r="S13" s="22"/>
      <c r="T13" s="19"/>
      <c r="U13" s="19"/>
      <c r="V13" s="19"/>
      <c r="W13" s="20"/>
    </row>
    <row r="14" spans="1:23" ht="12.75" customHeight="1" x14ac:dyDescent="0.25">
      <c r="A14" s="27"/>
      <c r="B14" s="19"/>
      <c r="C14" s="19"/>
      <c r="D14" s="19"/>
      <c r="E14" s="18"/>
      <c r="F14" s="19"/>
      <c r="G14" s="19"/>
      <c r="H14" s="13"/>
      <c r="I14" s="3"/>
      <c r="J14" s="3"/>
      <c r="K14" s="3"/>
      <c r="L14" s="6"/>
      <c r="M14" s="3"/>
      <c r="N14" s="7"/>
      <c r="O14" s="186" t="s">
        <v>29</v>
      </c>
      <c r="P14" s="21"/>
      <c r="Q14" s="22"/>
      <c r="R14" s="22"/>
      <c r="S14" s="22"/>
      <c r="T14" s="19"/>
      <c r="U14" s="19"/>
      <c r="V14" s="19"/>
      <c r="W14" s="20"/>
    </row>
    <row r="15" spans="1:23" ht="12.75" customHeight="1" x14ac:dyDescent="0.2">
      <c r="A15" s="28"/>
      <c r="B15" s="29"/>
      <c r="C15" s="29"/>
      <c r="D15" s="29"/>
      <c r="E15" s="30"/>
      <c r="F15" s="29"/>
      <c r="G15" s="29"/>
      <c r="H15" s="14"/>
      <c r="I15" s="10"/>
      <c r="J15" s="10"/>
      <c r="K15" s="9"/>
      <c r="L15" s="11"/>
      <c r="M15" s="8"/>
      <c r="N15" s="12"/>
      <c r="O15" s="233"/>
      <c r="P15" s="233"/>
      <c r="Q15" s="233"/>
      <c r="R15" s="233"/>
      <c r="S15" s="233"/>
      <c r="T15" s="233"/>
      <c r="U15" s="233"/>
      <c r="V15" s="233"/>
      <c r="W15" s="234"/>
    </row>
    <row r="16" spans="1:23" ht="12.75" customHeight="1" x14ac:dyDescent="0.25">
      <c r="A16" s="60"/>
      <c r="B16" s="61"/>
      <c r="C16" s="62"/>
      <c r="D16" s="63"/>
      <c r="E16" s="63"/>
      <c r="F16" s="64"/>
      <c r="G16" s="64"/>
      <c r="H16" s="64"/>
      <c r="I16" s="64"/>
      <c r="J16" s="64"/>
      <c r="K16" s="64"/>
      <c r="L16" s="64"/>
      <c r="M16" s="65"/>
      <c r="N16" s="66"/>
      <c r="O16" s="62"/>
      <c r="P16" s="62"/>
      <c r="Q16" s="62"/>
      <c r="R16" s="62"/>
      <c r="S16" s="62"/>
      <c r="T16" s="62"/>
      <c r="U16" s="67"/>
      <c r="V16" s="62"/>
      <c r="W16" s="62"/>
    </row>
    <row r="17" spans="1:23" ht="12.75" customHeight="1" x14ac:dyDescent="0.25">
      <c r="A17" s="68"/>
      <c r="B17" s="69"/>
      <c r="C17" s="70"/>
      <c r="D17" s="71"/>
      <c r="E17" s="71"/>
      <c r="F17" s="72"/>
      <c r="G17" s="72"/>
      <c r="H17" s="72"/>
      <c r="I17" s="72"/>
      <c r="J17" s="72"/>
      <c r="K17" s="72"/>
      <c r="L17" s="72"/>
      <c r="M17" s="73"/>
      <c r="N17" s="74"/>
      <c r="O17" s="70"/>
      <c r="P17" s="70"/>
      <c r="Q17" s="70"/>
      <c r="R17" s="70"/>
      <c r="S17" s="70"/>
      <c r="T17" s="70"/>
      <c r="U17" s="75"/>
      <c r="V17" s="70"/>
      <c r="W17" s="76"/>
    </row>
    <row r="18" spans="1:23" ht="21.75" thickBot="1" x14ac:dyDescent="0.4">
      <c r="A18" s="77" t="s">
        <v>30</v>
      </c>
      <c r="B18" s="78"/>
      <c r="C18" s="79"/>
      <c r="D18" s="80"/>
      <c r="E18" s="81"/>
      <c r="F18" s="82"/>
      <c r="G18" s="82"/>
      <c r="H18" s="82"/>
      <c r="I18" s="82"/>
      <c r="J18" s="83"/>
      <c r="K18" s="83"/>
      <c r="L18" s="75"/>
      <c r="M18" s="75"/>
      <c r="N18" s="75"/>
      <c r="O18" s="84"/>
      <c r="P18" s="85"/>
      <c r="Q18" s="85"/>
      <c r="R18" s="85"/>
      <c r="S18" s="85"/>
      <c r="T18" s="86"/>
      <c r="U18" s="75"/>
      <c r="V18" s="75"/>
      <c r="W18" s="87"/>
    </row>
    <row r="19" spans="1:23" ht="18" customHeight="1" x14ac:dyDescent="0.25">
      <c r="A19" s="147"/>
      <c r="B19" s="148"/>
      <c r="C19" s="148"/>
      <c r="D19" s="149"/>
      <c r="E19" s="150" t="s">
        <v>31</v>
      </c>
      <c r="F19" s="151" t="s">
        <v>18</v>
      </c>
      <c r="G19" s="151" t="s">
        <v>19</v>
      </c>
      <c r="H19" s="152" t="s">
        <v>32</v>
      </c>
      <c r="I19" s="152" t="s">
        <v>33</v>
      </c>
      <c r="J19" s="150" t="s">
        <v>18</v>
      </c>
      <c r="K19" s="151" t="s">
        <v>19</v>
      </c>
      <c r="L19" s="152" t="s">
        <v>32</v>
      </c>
      <c r="M19" s="152" t="s">
        <v>33</v>
      </c>
      <c r="N19" s="153" t="s">
        <v>34</v>
      </c>
      <c r="O19" s="88"/>
      <c r="P19" s="88"/>
      <c r="Q19" s="88"/>
      <c r="R19" s="88"/>
      <c r="S19" s="88"/>
      <c r="T19" s="88"/>
      <c r="U19" s="88"/>
      <c r="V19" s="88"/>
      <c r="W19" s="87"/>
    </row>
    <row r="20" spans="1:23" ht="12.75" customHeight="1" thickBot="1" x14ac:dyDescent="0.3">
      <c r="A20" s="154"/>
      <c r="B20" s="155" t="s">
        <v>35</v>
      </c>
      <c r="C20" s="83" t="s">
        <v>36</v>
      </c>
      <c r="D20" s="156" t="s">
        <v>37</v>
      </c>
      <c r="E20" s="157" t="s">
        <v>38</v>
      </c>
      <c r="F20" s="158" t="s">
        <v>38</v>
      </c>
      <c r="G20" s="158" t="s">
        <v>38</v>
      </c>
      <c r="H20" s="158" t="s">
        <v>38</v>
      </c>
      <c r="I20" s="158" t="s">
        <v>38</v>
      </c>
      <c r="J20" s="157" t="s">
        <v>39</v>
      </c>
      <c r="K20" s="158" t="s">
        <v>39</v>
      </c>
      <c r="L20" s="158" t="s">
        <v>39</v>
      </c>
      <c r="M20" s="158" t="s">
        <v>39</v>
      </c>
      <c r="N20" s="159" t="s">
        <v>39</v>
      </c>
      <c r="O20" s="89"/>
      <c r="P20" s="89"/>
      <c r="Q20" s="89"/>
      <c r="R20" s="89"/>
      <c r="S20" s="89"/>
      <c r="T20" s="89"/>
      <c r="U20" s="90"/>
      <c r="V20" s="91"/>
      <c r="W20" s="87"/>
    </row>
    <row r="21" spans="1:23" ht="12.75" customHeight="1" x14ac:dyDescent="0.25">
      <c r="A21" s="92" t="s">
        <v>40</v>
      </c>
      <c r="B21" s="172">
        <v>1</v>
      </c>
      <c r="C21" s="225" t="s">
        <v>55</v>
      </c>
      <c r="D21" s="216">
        <v>581</v>
      </c>
      <c r="E21" s="206">
        <v>26.2</v>
      </c>
      <c r="F21" s="207">
        <v>1.07</v>
      </c>
      <c r="G21" s="207">
        <v>24.52</v>
      </c>
      <c r="H21" s="207">
        <v>7.0000000000000007E-2</v>
      </c>
      <c r="I21" s="208">
        <v>20.99</v>
      </c>
      <c r="J21" s="202">
        <f t="shared" ref="J21:J23" si="0">F21/E21*100</f>
        <v>4.0839694656488552</v>
      </c>
      <c r="K21" s="203">
        <f t="shared" ref="K21:K23" si="1">G21/E21*100</f>
        <v>93.587786259541986</v>
      </c>
      <c r="L21" s="203">
        <f t="shared" ref="L21:L23" si="2">H21/E21*100</f>
        <v>0.26717557251908403</v>
      </c>
      <c r="M21" s="204">
        <f>I21/E21*100</f>
        <v>80.114503816793885</v>
      </c>
      <c r="N21" s="205">
        <f>(I21-H21)/G21*100</f>
        <v>85.318107667210427</v>
      </c>
      <c r="O21" s="96"/>
      <c r="P21" s="97"/>
      <c r="Q21" s="55"/>
      <c r="R21" s="55"/>
      <c r="S21" s="55"/>
      <c r="T21" s="56"/>
      <c r="U21" s="98"/>
      <c r="V21" s="99"/>
      <c r="W21" s="87"/>
    </row>
    <row r="22" spans="1:23" ht="12.75" customHeight="1" x14ac:dyDescent="0.25">
      <c r="A22" s="171"/>
      <c r="B22" s="101">
        <v>2</v>
      </c>
      <c r="C22" s="226" t="s">
        <v>55</v>
      </c>
      <c r="D22" s="217">
        <v>582</v>
      </c>
      <c r="E22" s="199">
        <v>24.6</v>
      </c>
      <c r="F22" s="200">
        <v>1.78</v>
      </c>
      <c r="G22" s="200">
        <v>22.26</v>
      </c>
      <c r="H22" s="200">
        <v>0.1</v>
      </c>
      <c r="I22" s="209">
        <v>18.809999999999999</v>
      </c>
      <c r="J22" s="210">
        <f t="shared" si="0"/>
        <v>7.2357723577235769</v>
      </c>
      <c r="K22" s="211">
        <f t="shared" si="1"/>
        <v>90.487804878048777</v>
      </c>
      <c r="L22" s="211">
        <f t="shared" si="2"/>
        <v>0.40650406504065034</v>
      </c>
      <c r="M22" s="212">
        <f>I22/E22*100</f>
        <v>76.463414634146332</v>
      </c>
      <c r="N22" s="213">
        <f>(I22-H22)/G22*100</f>
        <v>84.052111410601952</v>
      </c>
      <c r="O22" s="96"/>
      <c r="P22" s="97"/>
      <c r="Q22" s="55"/>
      <c r="R22" s="55"/>
      <c r="S22" s="55"/>
      <c r="T22" s="56"/>
      <c r="U22" s="98"/>
      <c r="V22" s="99"/>
      <c r="W22" s="87"/>
    </row>
    <row r="23" spans="1:23" ht="12.75" customHeight="1" x14ac:dyDescent="0.25">
      <c r="A23" s="38"/>
      <c r="B23" s="101">
        <v>3</v>
      </c>
      <c r="C23" s="226" t="s">
        <v>55</v>
      </c>
      <c r="D23" s="217">
        <v>583</v>
      </c>
      <c r="E23" s="199">
        <v>27</v>
      </c>
      <c r="F23" s="200">
        <v>1.73</v>
      </c>
      <c r="G23" s="200">
        <v>24.34</v>
      </c>
      <c r="H23" s="200">
        <v>0.18</v>
      </c>
      <c r="I23" s="209">
        <v>19.43</v>
      </c>
      <c r="J23" s="210">
        <f t="shared" si="0"/>
        <v>6.4074074074074074</v>
      </c>
      <c r="K23" s="211">
        <f t="shared" si="1"/>
        <v>90.148148148148138</v>
      </c>
      <c r="L23" s="211">
        <f t="shared" si="2"/>
        <v>0.66666666666666663</v>
      </c>
      <c r="M23" s="212">
        <f t="shared" ref="M23" si="3">I23/E23*100</f>
        <v>71.962962962962962</v>
      </c>
      <c r="N23" s="213">
        <f t="shared" ref="N23" si="4">(I23-H23)/G23*100</f>
        <v>79.087921117502063</v>
      </c>
      <c r="O23" s="96"/>
      <c r="P23" s="97"/>
      <c r="Q23" s="55"/>
      <c r="R23" s="55"/>
      <c r="S23" s="55"/>
      <c r="T23" s="56"/>
      <c r="U23" s="98"/>
      <c r="V23" s="99"/>
      <c r="W23" s="87"/>
    </row>
    <row r="24" spans="1:23" ht="12.75" customHeight="1" x14ac:dyDescent="0.25">
      <c r="A24" s="196"/>
      <c r="B24" s="101">
        <v>4</v>
      </c>
      <c r="C24" s="226" t="s">
        <v>55</v>
      </c>
      <c r="D24" s="217">
        <v>584</v>
      </c>
      <c r="E24" s="199">
        <v>24.4</v>
      </c>
      <c r="F24" s="200">
        <v>2.73</v>
      </c>
      <c r="G24" s="200">
        <v>20.67</v>
      </c>
      <c r="H24" s="200">
        <v>0</v>
      </c>
      <c r="I24" s="209">
        <v>17.75</v>
      </c>
      <c r="J24" s="210">
        <f t="shared" ref="J24" si="5">F24/E24*100</f>
        <v>11.188524590163935</v>
      </c>
      <c r="K24" s="211">
        <f t="shared" ref="K24" si="6">G24/E24*100</f>
        <v>84.71311475409837</v>
      </c>
      <c r="L24" s="211">
        <f t="shared" ref="L24" si="7">H24/E24*100</f>
        <v>0</v>
      </c>
      <c r="M24" s="212">
        <f t="shared" ref="M24" si="8">I24/E24*100</f>
        <v>72.745901639344268</v>
      </c>
      <c r="N24" s="213">
        <f t="shared" ref="N24" si="9">(I24-H24)/G24*100</f>
        <v>85.873246250604723</v>
      </c>
      <c r="O24" s="96"/>
      <c r="P24" s="97"/>
      <c r="Q24" s="55"/>
      <c r="R24" s="55"/>
      <c r="S24" s="55"/>
      <c r="T24" s="56"/>
      <c r="U24" s="98"/>
      <c r="V24" s="99"/>
      <c r="W24" s="87"/>
    </row>
    <row r="25" spans="1:23" ht="12.75" customHeight="1" x14ac:dyDescent="0.25">
      <c r="A25" s="100"/>
      <c r="B25" s="101">
        <v>5</v>
      </c>
      <c r="C25" s="226" t="s">
        <v>56</v>
      </c>
      <c r="D25" s="231">
        <v>585</v>
      </c>
      <c r="E25" s="199">
        <v>24.2</v>
      </c>
      <c r="F25" s="200">
        <v>2.37</v>
      </c>
      <c r="G25" s="200">
        <v>20.5</v>
      </c>
      <c r="H25" s="200">
        <v>0.11</v>
      </c>
      <c r="I25" s="209">
        <v>17.41</v>
      </c>
      <c r="J25" s="210">
        <f t="shared" ref="J25:J28" si="10">F25/E25*100</f>
        <v>9.793388429752067</v>
      </c>
      <c r="K25" s="211">
        <f t="shared" ref="K25:K28" si="11">G25/E25*100</f>
        <v>84.710743801652896</v>
      </c>
      <c r="L25" s="211">
        <f t="shared" ref="L25:L28" si="12">H25/E25*100</f>
        <v>0.45454545454545453</v>
      </c>
      <c r="M25" s="212">
        <f t="shared" ref="M25:M28" si="13">I25/E25*100</f>
        <v>71.942148760330582</v>
      </c>
      <c r="N25" s="213">
        <f t="shared" ref="N25:N28" si="14">(I25-H25)/G25*100</f>
        <v>84.390243902439039</v>
      </c>
      <c r="O25" s="96"/>
      <c r="P25" s="97"/>
      <c r="Q25" s="55"/>
      <c r="R25" s="55"/>
      <c r="S25" s="55"/>
      <c r="T25" s="56"/>
      <c r="U25" s="98"/>
      <c r="V25" s="99"/>
      <c r="W25" s="87"/>
    </row>
    <row r="26" spans="1:23" ht="12.75" customHeight="1" x14ac:dyDescent="0.25">
      <c r="A26" s="100"/>
      <c r="B26" s="101">
        <v>6</v>
      </c>
      <c r="C26" s="226" t="s">
        <v>56</v>
      </c>
      <c r="D26" s="217">
        <v>586</v>
      </c>
      <c r="E26" s="199">
        <v>29</v>
      </c>
      <c r="F26" s="200">
        <v>1.45</v>
      </c>
      <c r="G26" s="200">
        <v>26.25</v>
      </c>
      <c r="H26" s="200">
        <v>0.17</v>
      </c>
      <c r="I26" s="209">
        <v>22.52</v>
      </c>
      <c r="J26" s="210">
        <f t="shared" si="10"/>
        <v>5</v>
      </c>
      <c r="K26" s="211">
        <f t="shared" si="11"/>
        <v>90.517241379310349</v>
      </c>
      <c r="L26" s="211">
        <f t="shared" si="12"/>
        <v>0.5862068965517242</v>
      </c>
      <c r="M26" s="212">
        <f t="shared" si="13"/>
        <v>77.65517241379311</v>
      </c>
      <c r="N26" s="213">
        <f t="shared" si="14"/>
        <v>85.142857142857125</v>
      </c>
      <c r="O26" s="96"/>
      <c r="P26" s="97"/>
      <c r="Q26" s="55"/>
      <c r="R26" s="55"/>
      <c r="S26" s="55"/>
      <c r="T26" s="56"/>
      <c r="U26" s="98"/>
      <c r="V26" s="99"/>
      <c r="W26" s="87"/>
    </row>
    <row r="27" spans="1:23" ht="12.75" customHeight="1" x14ac:dyDescent="0.25">
      <c r="A27" s="100"/>
      <c r="B27" s="101">
        <v>7</v>
      </c>
      <c r="C27" s="226" t="s">
        <v>56</v>
      </c>
      <c r="D27" s="231">
        <v>587</v>
      </c>
      <c r="E27" s="199">
        <v>23.6</v>
      </c>
      <c r="F27" s="200">
        <v>0.97</v>
      </c>
      <c r="G27" s="200">
        <v>21.5</v>
      </c>
      <c r="H27" s="200">
        <v>0.04</v>
      </c>
      <c r="I27" s="209">
        <v>18.68</v>
      </c>
      <c r="J27" s="210">
        <f t="shared" si="10"/>
        <v>4.1101694915254239</v>
      </c>
      <c r="K27" s="211">
        <f t="shared" si="11"/>
        <v>91.101694915254228</v>
      </c>
      <c r="L27" s="211">
        <f t="shared" si="12"/>
        <v>0.16949152542372881</v>
      </c>
      <c r="M27" s="212">
        <f t="shared" si="13"/>
        <v>79.152542372881356</v>
      </c>
      <c r="N27" s="213">
        <f t="shared" si="14"/>
        <v>86.697674418604649</v>
      </c>
      <c r="O27" s="96"/>
      <c r="P27" s="97"/>
      <c r="Q27" s="55"/>
      <c r="R27" s="55"/>
      <c r="S27" s="55"/>
      <c r="T27" s="56"/>
      <c r="U27" s="98"/>
      <c r="V27" s="99"/>
      <c r="W27" s="87"/>
    </row>
    <row r="28" spans="1:23" ht="12.75" customHeight="1" x14ac:dyDescent="0.25">
      <c r="A28" s="100"/>
      <c r="B28" s="101">
        <v>8</v>
      </c>
      <c r="C28" s="226" t="s">
        <v>56</v>
      </c>
      <c r="D28" s="217">
        <v>588</v>
      </c>
      <c r="E28" s="199">
        <v>25.6</v>
      </c>
      <c r="F28" s="200">
        <v>2.4900000000000002</v>
      </c>
      <c r="G28" s="200">
        <v>21.97</v>
      </c>
      <c r="H28" s="200">
        <v>0.11</v>
      </c>
      <c r="I28" s="209">
        <v>18.87</v>
      </c>
      <c r="J28" s="210">
        <f t="shared" si="10"/>
        <v>9.7265625</v>
      </c>
      <c r="K28" s="211">
        <f t="shared" si="11"/>
        <v>85.8203125</v>
      </c>
      <c r="L28" s="211">
        <f t="shared" si="12"/>
        <v>0.42968749999999994</v>
      </c>
      <c r="M28" s="212">
        <f t="shared" si="13"/>
        <v>73.7109375</v>
      </c>
      <c r="N28" s="213">
        <f t="shared" si="14"/>
        <v>85.389167045971789</v>
      </c>
      <c r="O28" s="96"/>
      <c r="P28" s="97"/>
      <c r="Q28" s="55"/>
      <c r="R28" s="55"/>
      <c r="S28" s="55"/>
      <c r="T28" s="56"/>
      <c r="U28" s="98"/>
      <c r="V28" s="99"/>
      <c r="W28" s="87"/>
    </row>
    <row r="29" spans="1:23" ht="12.75" customHeight="1" x14ac:dyDescent="0.25">
      <c r="A29" s="104"/>
      <c r="B29" s="101">
        <v>9</v>
      </c>
      <c r="C29" s="102"/>
      <c r="D29" s="163"/>
      <c r="E29" s="178"/>
      <c r="F29" s="179"/>
      <c r="G29" s="179"/>
      <c r="H29" s="179"/>
      <c r="I29" s="180"/>
      <c r="J29" s="93"/>
      <c r="K29" s="94"/>
      <c r="L29" s="94"/>
      <c r="M29" s="103"/>
      <c r="N29" s="95"/>
      <c r="O29" s="96"/>
      <c r="P29" s="97"/>
      <c r="Q29" s="55"/>
      <c r="R29" s="56"/>
      <c r="S29" s="56"/>
      <c r="T29" s="57"/>
      <c r="U29" s="58"/>
      <c r="V29" s="99"/>
      <c r="W29" s="87"/>
    </row>
    <row r="30" spans="1:23" ht="12.75" customHeight="1" x14ac:dyDescent="0.25">
      <c r="A30" s="105"/>
      <c r="B30" s="101">
        <v>10</v>
      </c>
      <c r="C30" s="102"/>
      <c r="D30" s="163"/>
      <c r="E30" s="178"/>
      <c r="F30" s="179"/>
      <c r="G30" s="179"/>
      <c r="H30" s="179"/>
      <c r="I30" s="180"/>
      <c r="J30" s="93"/>
      <c r="K30" s="94"/>
      <c r="L30" s="94"/>
      <c r="M30" s="103"/>
      <c r="N30" s="95"/>
      <c r="O30" s="75"/>
      <c r="P30" s="75"/>
      <c r="Q30" s="75"/>
      <c r="R30" s="75"/>
      <c r="S30" s="75"/>
      <c r="T30" s="75"/>
      <c r="U30" s="75"/>
      <c r="V30" s="75"/>
      <c r="W30" s="87"/>
    </row>
    <row r="31" spans="1:23" ht="12.75" customHeight="1" x14ac:dyDescent="0.25">
      <c r="A31" s="105"/>
      <c r="B31" s="101">
        <v>11</v>
      </c>
      <c r="C31" s="102"/>
      <c r="D31" s="163"/>
      <c r="E31" s="178"/>
      <c r="F31" s="179"/>
      <c r="G31" s="179"/>
      <c r="H31" s="179"/>
      <c r="I31" s="180"/>
      <c r="J31" s="93"/>
      <c r="K31" s="94"/>
      <c r="L31" s="94"/>
      <c r="M31" s="103"/>
      <c r="N31" s="95"/>
      <c r="O31" s="75"/>
      <c r="P31" s="106"/>
      <c r="Q31" s="75"/>
      <c r="R31" s="75"/>
      <c r="S31" s="75"/>
      <c r="T31" s="106"/>
      <c r="U31" s="75"/>
      <c r="V31" s="75"/>
      <c r="W31" s="87"/>
    </row>
    <row r="32" spans="1:23" ht="12.75" customHeight="1" x14ac:dyDescent="0.25">
      <c r="A32" s="105"/>
      <c r="B32" s="101">
        <v>12</v>
      </c>
      <c r="C32" s="102"/>
      <c r="D32" s="163"/>
      <c r="E32" s="178"/>
      <c r="F32" s="179"/>
      <c r="G32" s="179"/>
      <c r="H32" s="179"/>
      <c r="I32" s="180"/>
      <c r="J32" s="93"/>
      <c r="K32" s="94"/>
      <c r="L32" s="94"/>
      <c r="M32" s="103"/>
      <c r="N32" s="95"/>
      <c r="O32" s="75"/>
      <c r="P32" s="106"/>
      <c r="Q32" s="75"/>
      <c r="R32" s="75"/>
      <c r="S32" s="75"/>
      <c r="T32" s="96"/>
      <c r="U32" s="75"/>
      <c r="V32" s="75"/>
      <c r="W32" s="87"/>
    </row>
    <row r="33" spans="1:23" ht="12.75" customHeight="1" x14ac:dyDescent="0.25">
      <c r="A33" s="105"/>
      <c r="B33" s="101">
        <v>13</v>
      </c>
      <c r="C33" s="102"/>
      <c r="D33" s="163"/>
      <c r="E33" s="178"/>
      <c r="F33" s="179"/>
      <c r="G33" s="179"/>
      <c r="H33" s="179"/>
      <c r="I33" s="180"/>
      <c r="J33" s="93"/>
      <c r="K33" s="94"/>
      <c r="L33" s="94"/>
      <c r="M33" s="103"/>
      <c r="N33" s="95"/>
      <c r="O33" s="75"/>
      <c r="P33" s="106"/>
      <c r="Q33" s="75"/>
      <c r="R33" s="75"/>
      <c r="S33" s="75"/>
      <c r="T33" s="96"/>
      <c r="U33" s="75"/>
      <c r="V33" s="75"/>
      <c r="W33" s="87"/>
    </row>
    <row r="34" spans="1:23" ht="12.75" customHeight="1" x14ac:dyDescent="0.25">
      <c r="A34" s="105"/>
      <c r="B34" s="101">
        <v>14</v>
      </c>
      <c r="C34" s="102"/>
      <c r="D34" s="163"/>
      <c r="E34" s="93"/>
      <c r="F34" s="94"/>
      <c r="G34" s="94"/>
      <c r="H34" s="94"/>
      <c r="I34" s="41"/>
      <c r="J34" s="93"/>
      <c r="K34" s="94"/>
      <c r="L34" s="94"/>
      <c r="M34" s="161"/>
      <c r="N34" s="95"/>
      <c r="O34" s="75"/>
      <c r="P34" s="106"/>
      <c r="Q34" s="56"/>
      <c r="R34" s="98"/>
      <c r="S34" s="99"/>
      <c r="T34" s="96"/>
      <c r="U34" s="75"/>
      <c r="V34" s="75"/>
      <c r="W34" s="87"/>
    </row>
    <row r="35" spans="1:23" ht="12.75" customHeight="1" x14ac:dyDescent="0.25">
      <c r="A35" s="105"/>
      <c r="B35" s="101">
        <v>15</v>
      </c>
      <c r="C35" s="107"/>
      <c r="D35" s="163"/>
      <c r="E35" s="93"/>
      <c r="F35" s="94"/>
      <c r="G35" s="94"/>
      <c r="H35" s="94"/>
      <c r="I35" s="41"/>
      <c r="J35" s="93"/>
      <c r="K35" s="94"/>
      <c r="L35" s="94"/>
      <c r="M35" s="161"/>
      <c r="N35" s="95"/>
      <c r="O35" s="75"/>
      <c r="P35" s="106"/>
      <c r="Q35" s="57"/>
      <c r="R35" s="58"/>
      <c r="S35" s="99"/>
      <c r="T35" s="96"/>
      <c r="U35" s="75"/>
      <c r="V35" s="75"/>
      <c r="W35" s="87"/>
    </row>
    <row r="36" spans="1:23" ht="12.75" customHeight="1" x14ac:dyDescent="0.25">
      <c r="A36" s="108"/>
      <c r="B36" s="109"/>
      <c r="C36" s="110"/>
      <c r="D36" s="162" t="s">
        <v>41</v>
      </c>
      <c r="E36" s="111">
        <f>AVERAGE(E21:E35)</f>
        <v>25.574999999999996</v>
      </c>
      <c r="F36" s="112">
        <f t="shared" ref="F36:I36" si="15">AVERAGE(F21:F35)</f>
        <v>1.82375</v>
      </c>
      <c r="G36" s="112">
        <f t="shared" si="15"/>
        <v>22.751250000000002</v>
      </c>
      <c r="H36" s="112">
        <f t="shared" si="15"/>
        <v>9.7500000000000003E-2</v>
      </c>
      <c r="I36" s="113">
        <f t="shared" si="15"/>
        <v>19.307499999999997</v>
      </c>
      <c r="J36" s="111">
        <f>AVERAGE(J21:J35)</f>
        <v>7.1932242802776578</v>
      </c>
      <c r="K36" s="112">
        <f t="shared" ref="K36:N36" si="16">AVERAGE(K21:K35)</f>
        <v>88.885855829506852</v>
      </c>
      <c r="L36" s="112">
        <f t="shared" si="16"/>
        <v>0.3725347100934136</v>
      </c>
      <c r="M36" s="112">
        <f t="shared" si="16"/>
        <v>75.468448012531567</v>
      </c>
      <c r="N36" s="113">
        <f t="shared" si="16"/>
        <v>84.493916119473965</v>
      </c>
      <c r="O36" s="114"/>
      <c r="P36" s="106"/>
      <c r="Q36" s="57"/>
      <c r="R36" s="58"/>
      <c r="S36" s="99"/>
      <c r="T36" s="106"/>
      <c r="U36" s="75"/>
      <c r="V36" s="75"/>
      <c r="W36" s="87"/>
    </row>
    <row r="37" spans="1:23" ht="12.75" customHeight="1" thickBot="1" x14ac:dyDescent="0.3">
      <c r="A37" s="115"/>
      <c r="B37" s="116"/>
      <c r="C37" s="117"/>
      <c r="D37" s="164" t="s">
        <v>42</v>
      </c>
      <c r="E37" s="118">
        <f>STDEV(E21:E35)/SQRT(COUNT(E21:E35))</f>
        <v>0.63068839940406152</v>
      </c>
      <c r="F37" s="119">
        <f t="shared" ref="F37:I37" si="17">STDEV(F21:F35)/SQRT(COUNT(F21:F35))</f>
        <v>0.23187848957713061</v>
      </c>
      <c r="G37" s="119">
        <f t="shared" si="17"/>
        <v>0.72838970510297552</v>
      </c>
      <c r="H37" s="119">
        <f t="shared" si="17"/>
        <v>2.1526561665599481E-2</v>
      </c>
      <c r="I37" s="120">
        <f t="shared" si="17"/>
        <v>0.59798695040706584</v>
      </c>
      <c r="J37" s="118">
        <f>STDEV(J21:J35)/SQRT(COUNT(J21:J35))</f>
        <v>0.97964392473214068</v>
      </c>
      <c r="K37" s="119">
        <f t="shared" ref="K37:N37" si="18">STDEV(K21:K35)/SQRT(COUNT(K21:K35))</f>
        <v>1.180798901163385</v>
      </c>
      <c r="L37" s="119">
        <f t="shared" si="18"/>
        <v>7.7277875778894112E-2</v>
      </c>
      <c r="M37" s="119">
        <f t="shared" si="18"/>
        <v>1.1661476703086884</v>
      </c>
      <c r="N37" s="120">
        <f t="shared" si="18"/>
        <v>0.82474794767562998</v>
      </c>
      <c r="O37" s="114"/>
      <c r="P37" s="106"/>
      <c r="Q37" s="57"/>
      <c r="R37" s="58"/>
      <c r="S37" s="99"/>
      <c r="T37" s="106"/>
      <c r="U37" s="75"/>
      <c r="V37" s="75"/>
      <c r="W37" s="87"/>
    </row>
    <row r="38" spans="1:23" ht="12.75" customHeight="1" x14ac:dyDescent="0.25">
      <c r="A38" s="121" t="s">
        <v>43</v>
      </c>
      <c r="B38" s="122">
        <v>1</v>
      </c>
      <c r="C38" s="214"/>
      <c r="D38" s="215"/>
      <c r="E38" s="199"/>
      <c r="F38" s="200"/>
      <c r="G38" s="200"/>
      <c r="H38" s="200"/>
      <c r="I38" s="201"/>
      <c r="J38" s="202"/>
      <c r="K38" s="203"/>
      <c r="L38" s="203"/>
      <c r="M38" s="204"/>
      <c r="N38" s="205"/>
      <c r="O38" s="75"/>
      <c r="P38" s="75"/>
      <c r="Q38" s="75"/>
      <c r="R38" s="75"/>
      <c r="S38" s="75"/>
      <c r="T38" s="75"/>
      <c r="U38" s="75"/>
      <c r="V38" s="75"/>
      <c r="W38" s="87"/>
    </row>
    <row r="39" spans="1:23" ht="12.75" customHeight="1" x14ac:dyDescent="0.25">
      <c r="A39" s="121"/>
      <c r="B39" s="122">
        <v>2</v>
      </c>
      <c r="C39" s="160"/>
      <c r="D39" s="198"/>
      <c r="E39" s="178"/>
      <c r="F39" s="179"/>
      <c r="G39" s="179"/>
      <c r="H39" s="179"/>
      <c r="I39" s="197"/>
      <c r="J39" s="93"/>
      <c r="K39" s="94"/>
      <c r="L39" s="94"/>
      <c r="M39" s="103"/>
      <c r="N39" s="95"/>
      <c r="O39" s="75"/>
      <c r="P39" s="75"/>
      <c r="Q39" s="75"/>
      <c r="R39" s="75"/>
      <c r="S39" s="75"/>
      <c r="T39" s="75"/>
      <c r="U39" s="75"/>
      <c r="V39" s="75"/>
      <c r="W39" s="87"/>
    </row>
    <row r="40" spans="1:23" ht="12.75" customHeight="1" x14ac:dyDescent="0.25">
      <c r="A40" s="40"/>
      <c r="B40" s="122">
        <v>3</v>
      </c>
      <c r="C40" s="160"/>
      <c r="D40" s="198"/>
      <c r="E40" s="178"/>
      <c r="F40" s="179"/>
      <c r="G40" s="179"/>
      <c r="H40" s="179"/>
      <c r="I40" s="197"/>
      <c r="J40" s="93"/>
      <c r="K40" s="94"/>
      <c r="L40" s="94"/>
      <c r="M40" s="103"/>
      <c r="N40" s="95"/>
      <c r="O40" s="75"/>
      <c r="P40" s="75"/>
      <c r="Q40" s="75"/>
      <c r="R40" s="75"/>
      <c r="S40" s="75"/>
      <c r="T40" s="75"/>
      <c r="U40" s="75"/>
      <c r="V40" s="75"/>
      <c r="W40" s="87"/>
    </row>
    <row r="41" spans="1:23" ht="12.75" customHeight="1" x14ac:dyDescent="0.25">
      <c r="A41" s="121"/>
      <c r="B41" s="39">
        <v>4</v>
      </c>
      <c r="C41" s="160"/>
      <c r="D41" s="198"/>
      <c r="E41" s="178"/>
      <c r="F41" s="179"/>
      <c r="G41" s="179"/>
      <c r="H41" s="179"/>
      <c r="I41" s="197"/>
      <c r="J41" s="93"/>
      <c r="K41" s="94"/>
      <c r="L41" s="94"/>
      <c r="M41" s="103"/>
      <c r="N41" s="95"/>
      <c r="O41" s="75"/>
      <c r="P41" s="75"/>
      <c r="Q41" s="75"/>
      <c r="R41" s="75"/>
      <c r="S41" s="75"/>
      <c r="T41" s="75"/>
      <c r="U41" s="75"/>
      <c r="V41" s="75"/>
      <c r="W41" s="87"/>
    </row>
    <row r="42" spans="1:23" ht="12.75" customHeight="1" x14ac:dyDescent="0.25">
      <c r="A42" s="121"/>
      <c r="B42" s="39">
        <v>5</v>
      </c>
      <c r="C42" s="160"/>
      <c r="D42" s="198"/>
      <c r="E42" s="178"/>
      <c r="F42" s="179"/>
      <c r="G42" s="179"/>
      <c r="H42" s="179"/>
      <c r="I42" s="197"/>
      <c r="J42" s="93"/>
      <c r="K42" s="94"/>
      <c r="L42" s="94"/>
      <c r="M42" s="103"/>
      <c r="N42" s="95"/>
      <c r="O42" s="75"/>
      <c r="P42" s="75"/>
      <c r="Q42" s="75"/>
      <c r="R42" s="75"/>
      <c r="S42" s="75"/>
      <c r="T42" s="75"/>
      <c r="U42" s="75"/>
      <c r="V42" s="75"/>
      <c r="W42" s="87"/>
    </row>
    <row r="43" spans="1:23" ht="12.75" customHeight="1" x14ac:dyDescent="0.25">
      <c r="A43" s="121"/>
      <c r="B43" s="39">
        <v>6</v>
      </c>
      <c r="C43" s="160"/>
      <c r="D43" s="193"/>
      <c r="E43" s="178"/>
      <c r="F43" s="179"/>
      <c r="G43" s="179"/>
      <c r="H43" s="179"/>
      <c r="I43" s="180"/>
      <c r="J43" s="93"/>
      <c r="K43" s="94"/>
      <c r="L43" s="94"/>
      <c r="M43" s="103"/>
      <c r="N43" s="95"/>
      <c r="O43" s="75"/>
      <c r="P43" s="75"/>
      <c r="Q43" s="75"/>
      <c r="R43" s="75"/>
      <c r="S43" s="75"/>
      <c r="T43" s="75"/>
      <c r="U43" s="75"/>
      <c r="V43" s="75"/>
      <c r="W43" s="87"/>
    </row>
    <row r="44" spans="1:23" ht="12.75" customHeight="1" x14ac:dyDescent="0.25">
      <c r="A44" s="121"/>
      <c r="B44" s="122">
        <v>7</v>
      </c>
      <c r="C44" s="160"/>
      <c r="D44" s="193"/>
      <c r="E44" s="178"/>
      <c r="F44" s="179"/>
      <c r="G44" s="179"/>
      <c r="H44" s="179"/>
      <c r="I44" s="180"/>
      <c r="J44" s="93"/>
      <c r="K44" s="94"/>
      <c r="L44" s="94"/>
      <c r="M44" s="103"/>
      <c r="N44" s="95"/>
      <c r="O44" s="75"/>
      <c r="P44" s="75"/>
      <c r="Q44" s="75"/>
      <c r="R44" s="75"/>
      <c r="S44" s="75"/>
      <c r="T44" s="75"/>
      <c r="U44" s="75"/>
      <c r="V44" s="75"/>
      <c r="W44" s="87"/>
    </row>
    <row r="45" spans="1:23" ht="12.75" customHeight="1" x14ac:dyDescent="0.25">
      <c r="A45" s="173"/>
      <c r="B45" s="122">
        <v>8</v>
      </c>
      <c r="C45" s="160"/>
      <c r="D45" s="194"/>
      <c r="E45" s="93"/>
      <c r="F45" s="177"/>
      <c r="G45" s="177"/>
      <c r="H45" s="177"/>
      <c r="I45" s="195"/>
      <c r="J45" s="93"/>
      <c r="K45" s="94"/>
      <c r="L45" s="94"/>
      <c r="M45" s="103"/>
      <c r="N45" s="95"/>
      <c r="O45" s="75"/>
      <c r="P45" s="75"/>
      <c r="Q45" s="75"/>
      <c r="R45" s="75"/>
      <c r="S45" s="75"/>
      <c r="T45" s="75"/>
      <c r="U45" s="75"/>
      <c r="V45" s="75"/>
      <c r="W45" s="87"/>
    </row>
    <row r="46" spans="1:23" ht="12.75" customHeight="1" x14ac:dyDescent="0.25">
      <c r="A46" s="123"/>
      <c r="B46" s="122">
        <v>9</v>
      </c>
      <c r="C46" s="160"/>
      <c r="D46" s="194"/>
      <c r="E46" s="93"/>
      <c r="F46" s="177"/>
      <c r="G46" s="177"/>
      <c r="H46" s="177"/>
      <c r="I46" s="41"/>
      <c r="J46" s="93"/>
      <c r="K46" s="94"/>
      <c r="L46" s="94"/>
      <c r="M46" s="103"/>
      <c r="N46" s="95"/>
      <c r="O46" s="75"/>
      <c r="P46" s="75"/>
      <c r="Q46" s="75"/>
      <c r="R46" s="75"/>
      <c r="S46" s="75"/>
      <c r="T46" s="75"/>
      <c r="U46" s="75"/>
      <c r="V46" s="75"/>
      <c r="W46" s="87"/>
    </row>
    <row r="47" spans="1:23" ht="12.75" customHeight="1" x14ac:dyDescent="0.25">
      <c r="A47" s="123"/>
      <c r="B47" s="122">
        <v>10</v>
      </c>
      <c r="C47" s="160"/>
      <c r="D47" s="194"/>
      <c r="E47" s="93"/>
      <c r="F47" s="177"/>
      <c r="G47" s="177"/>
      <c r="H47" s="177"/>
      <c r="I47" s="41"/>
      <c r="J47" s="93"/>
      <c r="K47" s="94"/>
      <c r="L47" s="94"/>
      <c r="M47" s="103"/>
      <c r="N47" s="95"/>
      <c r="O47" s="75"/>
      <c r="P47" s="75"/>
      <c r="Q47" s="75"/>
      <c r="R47" s="75"/>
      <c r="S47" s="75"/>
      <c r="T47" s="75"/>
      <c r="U47" s="75"/>
      <c r="V47" s="75"/>
      <c r="W47" s="87"/>
    </row>
    <row r="48" spans="1:23" ht="12.75" customHeight="1" x14ac:dyDescent="0.25">
      <c r="A48" s="123"/>
      <c r="B48" s="39">
        <v>11</v>
      </c>
      <c r="C48" s="160"/>
      <c r="D48" s="174"/>
      <c r="E48" s="93"/>
      <c r="F48" s="177"/>
      <c r="G48" s="177"/>
      <c r="H48" s="177"/>
      <c r="I48" s="41"/>
      <c r="J48" s="93"/>
      <c r="K48" s="94"/>
      <c r="L48" s="94"/>
      <c r="M48" s="103"/>
      <c r="N48" s="95"/>
      <c r="O48" s="75"/>
      <c r="P48" s="75"/>
      <c r="Q48" s="75"/>
      <c r="R48" s="75"/>
      <c r="S48" s="75"/>
      <c r="T48" s="75"/>
      <c r="U48" s="75"/>
      <c r="V48" s="75"/>
      <c r="W48" s="87"/>
    </row>
    <row r="49" spans="1:23" ht="12.75" customHeight="1" x14ac:dyDescent="0.25">
      <c r="A49" s="123"/>
      <c r="B49" s="39">
        <v>12</v>
      </c>
      <c r="C49" s="160"/>
      <c r="D49" s="174"/>
      <c r="E49" s="93"/>
      <c r="F49" s="177"/>
      <c r="G49" s="177"/>
      <c r="H49" s="177"/>
      <c r="I49" s="41"/>
      <c r="J49" s="93"/>
      <c r="K49" s="94"/>
      <c r="L49" s="94"/>
      <c r="M49" s="103"/>
      <c r="N49" s="95"/>
      <c r="O49" s="75"/>
      <c r="P49" s="75"/>
      <c r="Q49" s="75"/>
      <c r="R49" s="75"/>
      <c r="S49" s="75"/>
      <c r="T49" s="75"/>
      <c r="U49" s="75"/>
      <c r="V49" s="75"/>
      <c r="W49" s="87"/>
    </row>
    <row r="50" spans="1:23" ht="12.75" customHeight="1" x14ac:dyDescent="0.25">
      <c r="A50" s="123"/>
      <c r="B50" s="39">
        <v>13</v>
      </c>
      <c r="C50" s="160"/>
      <c r="D50" s="174"/>
      <c r="E50" s="93"/>
      <c r="F50" s="177"/>
      <c r="G50" s="177"/>
      <c r="H50" s="177"/>
      <c r="I50" s="41"/>
      <c r="J50" s="93"/>
      <c r="K50" s="94"/>
      <c r="L50" s="94"/>
      <c r="M50" s="103"/>
      <c r="N50" s="95"/>
      <c r="O50" s="75"/>
      <c r="P50" s="75"/>
      <c r="Q50" s="75"/>
      <c r="R50" s="75"/>
      <c r="S50" s="75"/>
      <c r="T50" s="75"/>
      <c r="U50" s="75"/>
      <c r="V50" s="75"/>
      <c r="W50" s="87"/>
    </row>
    <row r="51" spans="1:23" ht="12.75" customHeight="1" x14ac:dyDescent="0.25">
      <c r="A51" s="123"/>
      <c r="B51" s="39">
        <v>14</v>
      </c>
      <c r="C51" s="160"/>
      <c r="D51" s="174"/>
      <c r="E51" s="93"/>
      <c r="F51" s="177"/>
      <c r="G51" s="177"/>
      <c r="H51" s="177"/>
      <c r="I51" s="41"/>
      <c r="J51" s="93"/>
      <c r="K51" s="94"/>
      <c r="L51" s="94"/>
      <c r="M51" s="103"/>
      <c r="N51" s="95"/>
      <c r="O51" s="75"/>
      <c r="P51" s="75"/>
      <c r="Q51" s="75"/>
      <c r="R51" s="75"/>
      <c r="S51" s="75"/>
      <c r="T51" s="75"/>
      <c r="U51" s="75"/>
      <c r="V51" s="75"/>
      <c r="W51" s="87"/>
    </row>
    <row r="52" spans="1:23" ht="12.75" customHeight="1" x14ac:dyDescent="0.25">
      <c r="A52" s="123"/>
      <c r="B52" s="39">
        <v>15</v>
      </c>
      <c r="C52" s="124"/>
      <c r="D52" s="174"/>
      <c r="E52" s="93"/>
      <c r="F52" s="94"/>
      <c r="G52" s="94"/>
      <c r="H52" s="94"/>
      <c r="I52" s="41"/>
      <c r="J52" s="93"/>
      <c r="K52" s="94"/>
      <c r="L52" s="94"/>
      <c r="M52" s="161"/>
      <c r="N52" s="95"/>
      <c r="O52" s="75"/>
      <c r="P52" s="75"/>
      <c r="Q52" s="75"/>
      <c r="R52" s="75"/>
      <c r="S52" s="75"/>
      <c r="T52" s="75"/>
      <c r="U52" s="75"/>
      <c r="V52" s="75"/>
      <c r="W52" s="87"/>
    </row>
    <row r="53" spans="1:23" ht="12.75" customHeight="1" x14ac:dyDescent="0.25">
      <c r="A53" s="125"/>
      <c r="B53" s="126"/>
      <c r="C53" s="127"/>
      <c r="D53" s="175" t="s">
        <v>41</v>
      </c>
      <c r="E53" s="111" t="e">
        <f>AVERAGE(E38:E52)</f>
        <v>#DIV/0!</v>
      </c>
      <c r="F53" s="112" t="e">
        <f t="shared" ref="F53:I53" si="19">AVERAGE(F38:F52)</f>
        <v>#DIV/0!</v>
      </c>
      <c r="G53" s="112" t="e">
        <f t="shared" si="19"/>
        <v>#DIV/0!</v>
      </c>
      <c r="H53" s="112" t="e">
        <f t="shared" si="19"/>
        <v>#DIV/0!</v>
      </c>
      <c r="I53" s="113" t="e">
        <f t="shared" si="19"/>
        <v>#DIV/0!</v>
      </c>
      <c r="J53" s="111" t="e">
        <f>AVERAGE(J38:J52)</f>
        <v>#DIV/0!</v>
      </c>
      <c r="K53" s="112" t="e">
        <f t="shared" ref="K53:N53" si="20">AVERAGE(K38:K52)</f>
        <v>#DIV/0!</v>
      </c>
      <c r="L53" s="112" t="e">
        <f t="shared" si="20"/>
        <v>#DIV/0!</v>
      </c>
      <c r="M53" s="112" t="e">
        <f t="shared" si="20"/>
        <v>#DIV/0!</v>
      </c>
      <c r="N53" s="113" t="e">
        <f t="shared" si="20"/>
        <v>#DIV/0!</v>
      </c>
      <c r="O53" s="114"/>
      <c r="P53" s="75"/>
      <c r="Q53" s="75"/>
      <c r="R53" s="75"/>
      <c r="S53" s="75"/>
      <c r="T53" s="75"/>
      <c r="U53" s="75"/>
      <c r="V53" s="75"/>
      <c r="W53" s="87"/>
    </row>
    <row r="54" spans="1:23" ht="12.75" customHeight="1" thickBot="1" x14ac:dyDescent="0.3">
      <c r="A54" s="128"/>
      <c r="B54" s="129"/>
      <c r="C54" s="130"/>
      <c r="D54" s="176" t="s">
        <v>42</v>
      </c>
      <c r="E54" s="118" t="e">
        <f>STDEV(E38:E52)/SQRT(COUNT(E38:E52))</f>
        <v>#DIV/0!</v>
      </c>
      <c r="F54" s="119" t="e">
        <f t="shared" ref="F54:I54" si="21">STDEV(F38:F52)/SQRT(COUNT(F38:F52))</f>
        <v>#DIV/0!</v>
      </c>
      <c r="G54" s="119" t="e">
        <f t="shared" si="21"/>
        <v>#DIV/0!</v>
      </c>
      <c r="H54" s="119" t="e">
        <f t="shared" si="21"/>
        <v>#DIV/0!</v>
      </c>
      <c r="I54" s="120" t="e">
        <f t="shared" si="21"/>
        <v>#DIV/0!</v>
      </c>
      <c r="J54" s="118" t="e">
        <f>STDEV(J38:J52)/SQRT(COUNT(J38:J52))</f>
        <v>#DIV/0!</v>
      </c>
      <c r="K54" s="119" t="e">
        <f t="shared" ref="K54:N54" si="22">STDEV(K38:K52)/SQRT(COUNT(K38:K52))</f>
        <v>#DIV/0!</v>
      </c>
      <c r="L54" s="119" t="e">
        <f t="shared" si="22"/>
        <v>#DIV/0!</v>
      </c>
      <c r="M54" s="119" t="e">
        <f t="shared" si="22"/>
        <v>#DIV/0!</v>
      </c>
      <c r="N54" s="120" t="e">
        <f t="shared" si="22"/>
        <v>#DIV/0!</v>
      </c>
      <c r="O54" s="114"/>
      <c r="P54" s="75"/>
      <c r="Q54" s="75"/>
      <c r="R54" s="75"/>
      <c r="S54" s="75"/>
      <c r="T54" s="75"/>
      <c r="U54" s="75"/>
      <c r="V54" s="75"/>
      <c r="W54" s="87"/>
    </row>
    <row r="55" spans="1:23" ht="12.75" customHeight="1" x14ac:dyDescent="0.25">
      <c r="A55" s="131"/>
      <c r="B55" s="89"/>
      <c r="C55" s="75"/>
      <c r="D55" s="145" t="s">
        <v>44</v>
      </c>
      <c r="E55" s="146" t="e">
        <f>TTEST(E21:E35,E38:E52,2,2)</f>
        <v>#DIV/0!</v>
      </c>
      <c r="F55" s="146" t="e">
        <f>TTEST(F21:F35,F38:F52,2,2)</f>
        <v>#DIV/0!</v>
      </c>
      <c r="G55" s="146" t="e">
        <f t="shared" ref="G55:N55" si="23">TTEST(G21:G35,G38:G52,2,2)</f>
        <v>#DIV/0!</v>
      </c>
      <c r="H55" s="146" t="e">
        <f t="shared" si="23"/>
        <v>#DIV/0!</v>
      </c>
      <c r="I55" s="146" t="e">
        <f>TTEST(I21:I35,I38:I52,2,2)</f>
        <v>#DIV/0!</v>
      </c>
      <c r="J55" s="146" t="e">
        <f t="shared" si="23"/>
        <v>#DIV/0!</v>
      </c>
      <c r="K55" s="146" t="e">
        <f t="shared" si="23"/>
        <v>#DIV/0!</v>
      </c>
      <c r="L55" s="146" t="e">
        <f t="shared" si="23"/>
        <v>#DIV/0!</v>
      </c>
      <c r="M55" s="146" t="e">
        <f t="shared" si="23"/>
        <v>#DIV/0!</v>
      </c>
      <c r="N55" s="146" t="e">
        <f t="shared" si="23"/>
        <v>#DIV/0!</v>
      </c>
      <c r="O55" s="132"/>
      <c r="P55" s="75"/>
      <c r="Q55" s="75"/>
      <c r="R55" s="75"/>
      <c r="S55" s="75"/>
      <c r="T55" s="75"/>
      <c r="U55" s="75"/>
      <c r="V55" s="75"/>
      <c r="W55" s="87"/>
    </row>
    <row r="56" spans="1:23" ht="12.75" customHeight="1" x14ac:dyDescent="0.25">
      <c r="A56" s="133"/>
      <c r="B56" s="134"/>
      <c r="C56" s="135"/>
      <c r="D56" s="136"/>
      <c r="E56" s="135"/>
      <c r="F56" s="137"/>
      <c r="G56" s="137"/>
      <c r="H56" s="137"/>
      <c r="I56" s="138"/>
      <c r="J56" s="137"/>
      <c r="K56" s="137"/>
      <c r="L56" s="137"/>
      <c r="M56" s="137"/>
      <c r="N56" s="137"/>
      <c r="O56" s="137"/>
      <c r="P56" s="135"/>
      <c r="Q56" s="135"/>
      <c r="R56" s="135"/>
      <c r="S56" s="135"/>
      <c r="T56" s="135"/>
      <c r="U56" s="135"/>
      <c r="V56" s="135"/>
      <c r="W56" s="139"/>
    </row>
    <row r="57" spans="1:23" ht="12.75" customHeight="1" x14ac:dyDescent="0.25">
      <c r="A57" s="140"/>
      <c r="B57" s="141"/>
      <c r="C57" s="62"/>
      <c r="D57" s="142"/>
      <c r="E57" s="62"/>
      <c r="F57" s="143"/>
      <c r="G57" s="143"/>
      <c r="H57" s="143"/>
      <c r="I57" s="144"/>
      <c r="J57" s="143"/>
      <c r="K57" s="143"/>
      <c r="L57" s="143"/>
      <c r="M57" s="143"/>
      <c r="N57" s="143"/>
      <c r="O57" s="143"/>
      <c r="P57" s="62"/>
      <c r="Q57" s="62"/>
      <c r="R57" s="62"/>
      <c r="S57" s="62"/>
      <c r="T57" s="62"/>
      <c r="U57" s="62"/>
      <c r="V57" s="62"/>
      <c r="W57" s="62"/>
    </row>
    <row r="58" spans="1:23" ht="12.75" customHeight="1" x14ac:dyDescent="0.25">
      <c r="A58" s="62"/>
      <c r="B58" s="62"/>
      <c r="C58" s="62"/>
      <c r="D58" s="62"/>
      <c r="E58" s="62"/>
      <c r="F58" s="62"/>
      <c r="G58" s="62"/>
      <c r="H58" s="62"/>
      <c r="I58" s="62"/>
      <c r="J58" s="62"/>
      <c r="K58" s="62"/>
      <c r="L58" s="62"/>
      <c r="M58" s="62"/>
      <c r="N58" s="62"/>
      <c r="O58" s="62"/>
      <c r="P58" s="62"/>
      <c r="Q58" s="62"/>
      <c r="R58" s="62"/>
      <c r="S58" s="62"/>
      <c r="T58" s="62"/>
      <c r="U58" s="62"/>
      <c r="V58" s="62"/>
      <c r="W58" s="62"/>
    </row>
    <row r="59" spans="1:23" ht="12.75" customHeight="1" x14ac:dyDescent="0.25">
      <c r="A59" s="62"/>
      <c r="B59" s="62"/>
      <c r="C59" s="62"/>
      <c r="D59" s="62"/>
      <c r="E59" s="62"/>
      <c r="F59" s="62"/>
      <c r="G59" s="62"/>
      <c r="H59" s="62"/>
      <c r="I59" s="62"/>
      <c r="J59" s="62"/>
      <c r="K59" s="62"/>
      <c r="L59" s="62"/>
      <c r="M59" s="62"/>
      <c r="N59" s="62"/>
      <c r="O59" s="62"/>
      <c r="P59" s="62"/>
      <c r="Q59" s="62"/>
      <c r="R59" s="62"/>
      <c r="S59" s="62"/>
      <c r="T59" s="62"/>
      <c r="U59" s="62"/>
      <c r="V59" s="62"/>
      <c r="W59" s="62"/>
    </row>
    <row r="60" spans="1:23" ht="12.75" customHeight="1" x14ac:dyDescent="0.25">
      <c r="A60" s="62"/>
      <c r="B60" s="62"/>
      <c r="C60" s="62"/>
      <c r="D60" s="62"/>
      <c r="E60" s="62"/>
      <c r="F60" s="62"/>
      <c r="G60" s="62"/>
      <c r="H60" s="62"/>
      <c r="I60" s="62"/>
      <c r="J60" s="62"/>
      <c r="K60" s="62"/>
      <c r="L60" s="62"/>
      <c r="M60" s="62"/>
      <c r="N60" s="62"/>
      <c r="O60" s="62"/>
      <c r="P60" s="62"/>
      <c r="Q60" s="62"/>
      <c r="R60" s="62"/>
      <c r="S60" s="62"/>
      <c r="T60" s="62"/>
      <c r="U60" s="62"/>
      <c r="V60" s="62"/>
      <c r="W60" s="62"/>
    </row>
    <row r="61" spans="1:23" ht="12.75" customHeight="1" x14ac:dyDescent="0.25">
      <c r="A61" s="62"/>
      <c r="B61" s="62"/>
      <c r="C61" s="62"/>
      <c r="D61" s="62"/>
      <c r="E61" s="62"/>
      <c r="F61" s="62"/>
      <c r="G61" s="62"/>
      <c r="H61" s="62"/>
      <c r="I61" s="62"/>
      <c r="J61" s="62"/>
      <c r="K61" s="62"/>
      <c r="L61" s="62"/>
      <c r="M61" s="62"/>
      <c r="N61" s="62"/>
      <c r="O61" s="62"/>
      <c r="P61" s="62"/>
      <c r="Q61" s="62"/>
      <c r="R61" s="62"/>
      <c r="S61" s="62"/>
      <c r="T61" s="62"/>
      <c r="U61" s="62"/>
      <c r="V61" s="62"/>
      <c r="W61" s="62"/>
    </row>
    <row r="62" spans="1:23" ht="12.75" customHeight="1" x14ac:dyDescent="0.25">
      <c r="A62" s="62"/>
      <c r="B62" s="62"/>
      <c r="C62" s="62"/>
      <c r="D62" s="62"/>
      <c r="E62" s="62"/>
      <c r="F62" s="62"/>
      <c r="G62" s="62"/>
      <c r="H62" s="62"/>
      <c r="I62" s="62"/>
      <c r="J62" s="62"/>
      <c r="K62" s="62"/>
      <c r="L62" s="62"/>
      <c r="M62" s="62"/>
      <c r="N62" s="62"/>
      <c r="O62" s="62"/>
      <c r="P62" s="62"/>
      <c r="Q62" s="62"/>
      <c r="R62" s="62"/>
      <c r="S62" s="62"/>
      <c r="T62" s="62"/>
      <c r="U62" s="62"/>
      <c r="V62" s="62"/>
      <c r="W62" s="62"/>
    </row>
  </sheetData>
  <mergeCells count="4">
    <mergeCell ref="O15:W15"/>
    <mergeCell ref="A2:G2"/>
    <mergeCell ref="H2:N2"/>
    <mergeCell ref="O2:W2"/>
  </mergeCells>
  <phoneticPr fontId="13" type="noConversion"/>
  <conditionalFormatting sqref="E55:N55">
    <cfRule type="cellIs" dxfId="0" priority="1" operator="lessThan">
      <formula>0.05</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99"/>
  </sheetPr>
  <dimension ref="A1:W1"/>
  <sheetViews>
    <sheetView workbookViewId="0">
      <selection activeCell="X1" sqref="X1"/>
    </sheetView>
  </sheetViews>
  <sheetFormatPr defaultRowHeight="12.75" customHeight="1" x14ac:dyDescent="0.2"/>
  <cols>
    <col min="1"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sheetData>
  <sheetProtection algorithmName="SHA-512" hashValue="XpigH5+qqJHdCjznIPkONajkXklST21aYLDxDBTeuNcPoCgW+4a2XEsAakGs7zyn8yZvQcm9OpIMg13vGN4keA==" saltValue="7CNztnc2Xr32LcVUX1o4Xw==" spinCount="100000"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EchoMRI data</vt:lpstr>
      <vt:lpstr>Q's &amp; A's</vt:lpstr>
    </vt:vector>
  </TitlesOfParts>
  <Company>University of Michigan Health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 Nathan</dc:creator>
  <cp:lastModifiedBy>Feng, Jiane</cp:lastModifiedBy>
  <dcterms:created xsi:type="dcterms:W3CDTF">2020-05-06T14:18:59Z</dcterms:created>
  <dcterms:modified xsi:type="dcterms:W3CDTF">2025-05-27T17:49:23Z</dcterms:modified>
</cp:coreProperties>
</file>