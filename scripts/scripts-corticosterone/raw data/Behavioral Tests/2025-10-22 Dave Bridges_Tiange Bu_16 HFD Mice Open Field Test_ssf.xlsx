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zhewu_med_umich_edu/Documents/Data/Behavior Study/Dave Bridges_Tiange/"/>
    </mc:Choice>
  </mc:AlternateContent>
  <xr:revisionPtr revIDLastSave="8" documentId="8_{AF2EC6A2-2656-4B89-BC10-B2F788ECFF86}" xr6:coauthVersionLast="47" xr6:coauthVersionMax="47" xr10:uidLastSave="{CB05F506-0609-4519-B24F-127052B52355}"/>
  <bookViews>
    <workbookView xWindow="-120" yWindow="-120" windowWidth="29040" windowHeight="15720" xr2:uid="{00000000-000D-0000-FFFF-FFFF00000000}"/>
  </bookViews>
  <sheets>
    <sheet name="Center Zone" sheetId="1" r:id="rId1"/>
    <sheet name="Intermediate Zone" sheetId="6" r:id="rId2"/>
    <sheet name="Outer Zone" sheetId="2" r:id="rId3"/>
    <sheet name="Movement" sheetId="4" r:id="rId4"/>
    <sheet name="Distance &amp; Velocity" sheetId="3" r:id="rId5"/>
    <sheet name="Procedures &amp; Referenc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3" l="1"/>
  <c r="R20" i="3"/>
  <c r="Q23" i="3"/>
  <c r="R23" i="3"/>
  <c r="Q20" i="4"/>
  <c r="R20" i="4"/>
  <c r="Q23" i="4"/>
  <c r="R23" i="4"/>
  <c r="Q20" i="2"/>
  <c r="R20" i="2"/>
  <c r="Q23" i="2"/>
  <c r="R23" i="2"/>
  <c r="Q20" i="6"/>
  <c r="R20" i="6"/>
  <c r="Q23" i="6"/>
  <c r="R23" i="6"/>
  <c r="Q36" i="1"/>
  <c r="R36" i="1"/>
  <c r="Q39" i="1"/>
  <c r="R39" i="1"/>
  <c r="Q24" i="1" l="1"/>
  <c r="Q25" i="1"/>
  <c r="P61" i="4" l="1"/>
  <c r="O61" i="4"/>
  <c r="N61" i="4"/>
  <c r="M61" i="4"/>
  <c r="L61" i="4"/>
  <c r="K61" i="4"/>
  <c r="J61" i="4"/>
  <c r="I61" i="4"/>
  <c r="H61" i="4"/>
  <c r="G61" i="4"/>
  <c r="F61" i="4"/>
  <c r="E61" i="4"/>
  <c r="P60" i="4"/>
  <c r="O60" i="4"/>
  <c r="N60" i="4"/>
  <c r="M60" i="4"/>
  <c r="L60" i="4"/>
  <c r="K60" i="4"/>
  <c r="J60" i="4"/>
  <c r="I60" i="4"/>
  <c r="H60" i="4"/>
  <c r="G60" i="4"/>
  <c r="F60" i="4"/>
  <c r="E60" i="4"/>
  <c r="P59" i="4"/>
  <c r="O59" i="4"/>
  <c r="N59" i="4"/>
  <c r="M59" i="4"/>
  <c r="L59" i="4"/>
  <c r="K59" i="4"/>
  <c r="J59" i="4"/>
  <c r="I59" i="4"/>
  <c r="H59" i="4"/>
  <c r="G59" i="4"/>
  <c r="F59" i="4"/>
  <c r="E59" i="4"/>
  <c r="P58" i="4"/>
  <c r="O58" i="4"/>
  <c r="N58" i="4"/>
  <c r="M58" i="4"/>
  <c r="L58" i="4"/>
  <c r="K58" i="4"/>
  <c r="J58" i="4"/>
  <c r="I58" i="4"/>
  <c r="H58" i="4"/>
  <c r="G58" i="4"/>
  <c r="F58" i="4"/>
  <c r="E58" i="4"/>
  <c r="P57" i="4"/>
  <c r="O57" i="4"/>
  <c r="N57" i="4"/>
  <c r="M57" i="4"/>
  <c r="L57" i="4"/>
  <c r="K57" i="4"/>
  <c r="J57" i="4"/>
  <c r="I57" i="4"/>
  <c r="H57" i="4"/>
  <c r="G57" i="4"/>
  <c r="F57" i="4"/>
  <c r="E57" i="4"/>
  <c r="P56" i="4"/>
  <c r="O56" i="4"/>
  <c r="N56" i="4"/>
  <c r="M56" i="4"/>
  <c r="L56" i="4"/>
  <c r="K56" i="4"/>
  <c r="J56" i="4"/>
  <c r="I56" i="4"/>
  <c r="H56" i="4"/>
  <c r="G56" i="4"/>
  <c r="F56" i="4"/>
  <c r="E56" i="4"/>
  <c r="P61" i="2"/>
  <c r="O61" i="2"/>
  <c r="N61" i="2"/>
  <c r="M61" i="2"/>
  <c r="L61" i="2"/>
  <c r="K61" i="2"/>
  <c r="J61" i="2"/>
  <c r="I61" i="2"/>
  <c r="H61" i="2"/>
  <c r="G61" i="2"/>
  <c r="F61" i="2"/>
  <c r="E61" i="2"/>
  <c r="P60" i="2"/>
  <c r="O60" i="2"/>
  <c r="N60" i="2"/>
  <c r="M60" i="2"/>
  <c r="L60" i="2"/>
  <c r="K60" i="2"/>
  <c r="J60" i="2"/>
  <c r="I60" i="2"/>
  <c r="H60" i="2"/>
  <c r="G60" i="2"/>
  <c r="F60" i="2"/>
  <c r="E60" i="2"/>
  <c r="P59" i="2"/>
  <c r="O59" i="2"/>
  <c r="N59" i="2"/>
  <c r="M59" i="2"/>
  <c r="L59" i="2"/>
  <c r="K59" i="2"/>
  <c r="J59" i="2"/>
  <c r="I59" i="2"/>
  <c r="H59" i="2"/>
  <c r="G59" i="2"/>
  <c r="F59" i="2"/>
  <c r="E59" i="2"/>
  <c r="P58" i="2"/>
  <c r="O58" i="2"/>
  <c r="N58" i="2"/>
  <c r="M58" i="2"/>
  <c r="L58" i="2"/>
  <c r="K58" i="2"/>
  <c r="J58" i="2"/>
  <c r="I58" i="2"/>
  <c r="H58" i="2"/>
  <c r="G58" i="2"/>
  <c r="F58" i="2"/>
  <c r="E58" i="2"/>
  <c r="P57" i="2"/>
  <c r="O57" i="2"/>
  <c r="N57" i="2"/>
  <c r="M57" i="2"/>
  <c r="L57" i="2"/>
  <c r="K57" i="2"/>
  <c r="J57" i="2"/>
  <c r="I57" i="2"/>
  <c r="H57" i="2"/>
  <c r="G57" i="2"/>
  <c r="F57" i="2"/>
  <c r="E57" i="2"/>
  <c r="P56" i="2"/>
  <c r="O56" i="2"/>
  <c r="N56" i="2"/>
  <c r="M56" i="2"/>
  <c r="L56" i="2"/>
  <c r="K56" i="2"/>
  <c r="J56" i="2"/>
  <c r="I56" i="2"/>
  <c r="H56" i="2"/>
  <c r="G56" i="2"/>
  <c r="F56" i="2"/>
  <c r="E56" i="2"/>
  <c r="P77" i="1"/>
  <c r="O77" i="1"/>
  <c r="N77" i="1"/>
  <c r="M77" i="1"/>
  <c r="L77" i="1"/>
  <c r="K77" i="1"/>
  <c r="J77" i="1"/>
  <c r="I77" i="1"/>
  <c r="H77" i="1"/>
  <c r="G77" i="1"/>
  <c r="F77" i="1"/>
  <c r="E77" i="1"/>
  <c r="P76" i="1"/>
  <c r="O76" i="1"/>
  <c r="N76" i="1"/>
  <c r="M76" i="1"/>
  <c r="L76" i="1"/>
  <c r="K76" i="1"/>
  <c r="J76" i="1"/>
  <c r="I76" i="1"/>
  <c r="H76" i="1"/>
  <c r="G76" i="1"/>
  <c r="F76" i="1"/>
  <c r="E76" i="1"/>
  <c r="P75" i="1"/>
  <c r="O75" i="1"/>
  <c r="N75" i="1"/>
  <c r="M75" i="1"/>
  <c r="L75" i="1"/>
  <c r="K75" i="1"/>
  <c r="J75" i="1"/>
  <c r="I75" i="1"/>
  <c r="H75" i="1"/>
  <c r="G75" i="1"/>
  <c r="F75" i="1"/>
  <c r="E75" i="1"/>
  <c r="P74" i="1"/>
  <c r="O74" i="1"/>
  <c r="N74" i="1"/>
  <c r="M74" i="1"/>
  <c r="L74" i="1"/>
  <c r="K74" i="1"/>
  <c r="J74" i="1"/>
  <c r="I74" i="1"/>
  <c r="H74" i="1"/>
  <c r="G74" i="1"/>
  <c r="F74" i="1"/>
  <c r="E74" i="1"/>
  <c r="P73" i="1"/>
  <c r="O73" i="1"/>
  <c r="N73" i="1"/>
  <c r="M73" i="1"/>
  <c r="L73" i="1"/>
  <c r="K73" i="1"/>
  <c r="J73" i="1"/>
  <c r="I73" i="1"/>
  <c r="H73" i="1"/>
  <c r="G73" i="1"/>
  <c r="F73" i="1"/>
  <c r="E73" i="1"/>
  <c r="P72" i="1"/>
  <c r="O72" i="1"/>
  <c r="N72" i="1"/>
  <c r="M72" i="1"/>
  <c r="L72" i="1"/>
  <c r="K72" i="1"/>
  <c r="J72" i="1"/>
  <c r="I72" i="1"/>
  <c r="H72" i="1"/>
  <c r="G72" i="1"/>
  <c r="F72" i="1"/>
  <c r="E72" i="1"/>
  <c r="R9" i="3" l="1"/>
  <c r="R10" i="3"/>
  <c r="R11" i="3"/>
  <c r="Q8" i="3"/>
  <c r="R8" i="3"/>
  <c r="E70" i="1"/>
  <c r="E34" i="1"/>
  <c r="Q37" i="1"/>
  <c r="R37" i="1"/>
  <c r="Q38" i="1"/>
  <c r="R38" i="1"/>
  <c r="R25" i="1"/>
  <c r="Q26" i="1"/>
  <c r="R26" i="1"/>
  <c r="Q27" i="1"/>
  <c r="R27" i="1"/>
  <c r="R24" i="1"/>
  <c r="F56" i="6"/>
  <c r="G56" i="6"/>
  <c r="H56" i="6"/>
  <c r="I56" i="6"/>
  <c r="J56" i="6"/>
  <c r="K56" i="6"/>
  <c r="L56" i="6"/>
  <c r="M56" i="6"/>
  <c r="N56" i="6"/>
  <c r="O56" i="6"/>
  <c r="P56" i="6"/>
  <c r="F57" i="6"/>
  <c r="G57" i="6"/>
  <c r="H57" i="6"/>
  <c r="I57" i="6"/>
  <c r="J57" i="6"/>
  <c r="K57" i="6"/>
  <c r="L57" i="6"/>
  <c r="M57" i="6"/>
  <c r="N57" i="6"/>
  <c r="O57" i="6"/>
  <c r="P57" i="6"/>
  <c r="F58" i="6"/>
  <c r="G58" i="6"/>
  <c r="H58" i="6"/>
  <c r="I58" i="6"/>
  <c r="J58" i="6"/>
  <c r="K58" i="6"/>
  <c r="L58" i="6"/>
  <c r="M58" i="6"/>
  <c r="N58" i="6"/>
  <c r="O58" i="6"/>
  <c r="P58" i="6"/>
  <c r="F59" i="6"/>
  <c r="G59" i="6"/>
  <c r="H59" i="6"/>
  <c r="I59" i="6"/>
  <c r="J59" i="6"/>
  <c r="K59" i="6"/>
  <c r="L59" i="6"/>
  <c r="M59" i="6"/>
  <c r="N59" i="6"/>
  <c r="O59" i="6"/>
  <c r="P59" i="6"/>
  <c r="F60" i="6"/>
  <c r="G60" i="6"/>
  <c r="H60" i="6"/>
  <c r="I60" i="6"/>
  <c r="J60" i="6"/>
  <c r="K60" i="6"/>
  <c r="L60" i="6"/>
  <c r="M60" i="6"/>
  <c r="N60" i="6"/>
  <c r="O60" i="6"/>
  <c r="P60" i="6"/>
  <c r="F61" i="6"/>
  <c r="G61" i="6"/>
  <c r="H61" i="6"/>
  <c r="I61" i="6"/>
  <c r="J61" i="6"/>
  <c r="K61" i="6"/>
  <c r="L61" i="6"/>
  <c r="M61" i="6"/>
  <c r="N61" i="6"/>
  <c r="O61" i="6"/>
  <c r="P61" i="6"/>
  <c r="E61" i="6"/>
  <c r="E60" i="6"/>
  <c r="E59" i="6"/>
  <c r="E58" i="6"/>
  <c r="E57" i="6"/>
  <c r="E56" i="6"/>
  <c r="Q21" i="6"/>
  <c r="R21" i="6"/>
  <c r="Q22" i="6"/>
  <c r="R22" i="6"/>
  <c r="Q9" i="6"/>
  <c r="R9" i="6"/>
  <c r="Q10" i="6"/>
  <c r="R10" i="6"/>
  <c r="Q11" i="6"/>
  <c r="R11" i="6"/>
  <c r="R8" i="6"/>
  <c r="Q8" i="6"/>
  <c r="R22" i="2"/>
  <c r="Q22" i="2"/>
  <c r="R21" i="2"/>
  <c r="Q21" i="2"/>
  <c r="Q9" i="2"/>
  <c r="R9" i="2"/>
  <c r="Q10" i="2"/>
  <c r="R10" i="2"/>
  <c r="Q11" i="2"/>
  <c r="R11" i="2"/>
  <c r="Q8" i="2"/>
  <c r="R8" i="2"/>
  <c r="R22" i="4"/>
  <c r="Q22" i="4"/>
  <c r="R21" i="4"/>
  <c r="Q21" i="4"/>
  <c r="Q9" i="4"/>
  <c r="R9" i="4"/>
  <c r="Q10" i="4"/>
  <c r="R10" i="4"/>
  <c r="Q11" i="4"/>
  <c r="R11" i="4"/>
  <c r="R8" i="4"/>
  <c r="Q8" i="4"/>
  <c r="P55" i="4"/>
  <c r="O55" i="4"/>
  <c r="N55" i="4"/>
  <c r="M55" i="4"/>
  <c r="L55" i="4"/>
  <c r="K55" i="4"/>
  <c r="J55" i="4"/>
  <c r="I55" i="4"/>
  <c r="H55" i="4"/>
  <c r="G55" i="4"/>
  <c r="F55" i="4"/>
  <c r="E55" i="4"/>
  <c r="P54" i="4"/>
  <c r="O54" i="4"/>
  <c r="N54" i="4"/>
  <c r="M54" i="4"/>
  <c r="L54" i="4"/>
  <c r="K54" i="4"/>
  <c r="J54" i="4"/>
  <c r="I54" i="4"/>
  <c r="H54" i="4"/>
  <c r="G54" i="4"/>
  <c r="F54" i="4"/>
  <c r="E5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19" i="4"/>
  <c r="O19" i="4"/>
  <c r="N19" i="4"/>
  <c r="M19" i="4"/>
  <c r="L19" i="4"/>
  <c r="K19" i="4"/>
  <c r="J19" i="4"/>
  <c r="I19" i="4"/>
  <c r="H19" i="4"/>
  <c r="G19" i="4"/>
  <c r="P18" i="4"/>
  <c r="O18" i="4"/>
  <c r="N18" i="4"/>
  <c r="M18" i="4"/>
  <c r="L18" i="4"/>
  <c r="K18" i="4"/>
  <c r="J18" i="4"/>
  <c r="I18" i="4"/>
  <c r="H18" i="4"/>
  <c r="G18" i="4"/>
  <c r="F19" i="4"/>
  <c r="F18" i="4"/>
  <c r="E19" i="4"/>
  <c r="E18" i="4"/>
  <c r="F56" i="3"/>
  <c r="G56" i="3"/>
  <c r="H56" i="3"/>
  <c r="I56" i="3"/>
  <c r="J56" i="3"/>
  <c r="K56" i="3"/>
  <c r="L56" i="3"/>
  <c r="M56" i="3"/>
  <c r="N56" i="3"/>
  <c r="O56" i="3"/>
  <c r="P56" i="3"/>
  <c r="F57" i="3"/>
  <c r="G57" i="3"/>
  <c r="H57" i="3"/>
  <c r="I57" i="3"/>
  <c r="J57" i="3"/>
  <c r="K57" i="3"/>
  <c r="L57" i="3"/>
  <c r="M57" i="3"/>
  <c r="N57" i="3"/>
  <c r="O57" i="3"/>
  <c r="P57" i="3"/>
  <c r="F58" i="3"/>
  <c r="G58" i="3"/>
  <c r="H58" i="3"/>
  <c r="I58" i="3"/>
  <c r="J58" i="3"/>
  <c r="K58" i="3"/>
  <c r="L58" i="3"/>
  <c r="M58" i="3"/>
  <c r="N58" i="3"/>
  <c r="O58" i="3"/>
  <c r="P58" i="3"/>
  <c r="F59" i="3"/>
  <c r="G59" i="3"/>
  <c r="H59" i="3"/>
  <c r="I59" i="3"/>
  <c r="J59" i="3"/>
  <c r="K59" i="3"/>
  <c r="L59" i="3"/>
  <c r="M59" i="3"/>
  <c r="N59" i="3"/>
  <c r="O59" i="3"/>
  <c r="P59" i="3"/>
  <c r="F60" i="3"/>
  <c r="G60" i="3"/>
  <c r="H60" i="3"/>
  <c r="I60" i="3"/>
  <c r="J60" i="3"/>
  <c r="K60" i="3"/>
  <c r="L60" i="3"/>
  <c r="M60" i="3"/>
  <c r="N60" i="3"/>
  <c r="O60" i="3"/>
  <c r="P60" i="3"/>
  <c r="F61" i="3"/>
  <c r="G61" i="3"/>
  <c r="H61" i="3"/>
  <c r="I61" i="3"/>
  <c r="J61" i="3"/>
  <c r="K61" i="3"/>
  <c r="L61" i="3"/>
  <c r="M61" i="3"/>
  <c r="N61" i="3"/>
  <c r="O61" i="3"/>
  <c r="P61" i="3"/>
  <c r="E61" i="3"/>
  <c r="E60" i="3"/>
  <c r="E59" i="3"/>
  <c r="E58" i="3"/>
  <c r="E57" i="3"/>
  <c r="E56" i="3"/>
  <c r="P55" i="3"/>
  <c r="O55" i="3"/>
  <c r="N55" i="3"/>
  <c r="M55" i="3"/>
  <c r="L55" i="3"/>
  <c r="K55" i="3"/>
  <c r="J55" i="3"/>
  <c r="I55" i="3"/>
  <c r="H55" i="3"/>
  <c r="G55" i="3"/>
  <c r="F55" i="3"/>
  <c r="E55" i="3"/>
  <c r="P54" i="3"/>
  <c r="O54" i="3"/>
  <c r="N54" i="3"/>
  <c r="M54" i="3"/>
  <c r="L54" i="3"/>
  <c r="K54" i="3"/>
  <c r="J54" i="3"/>
  <c r="I54" i="3"/>
  <c r="H54" i="3"/>
  <c r="G54" i="3"/>
  <c r="F54" i="3"/>
  <c r="E54" i="3"/>
  <c r="P43" i="3"/>
  <c r="O43" i="3"/>
  <c r="N43" i="3"/>
  <c r="M43" i="3"/>
  <c r="L43" i="3"/>
  <c r="K43" i="3"/>
  <c r="J43" i="3"/>
  <c r="I43" i="3"/>
  <c r="H43" i="3"/>
  <c r="G43" i="3"/>
  <c r="F43" i="3"/>
  <c r="E43" i="3"/>
  <c r="P42" i="3"/>
  <c r="O42" i="3"/>
  <c r="N42" i="3"/>
  <c r="M42" i="3"/>
  <c r="L42" i="3"/>
  <c r="K42" i="3"/>
  <c r="J42" i="3"/>
  <c r="I42" i="3"/>
  <c r="H42" i="3"/>
  <c r="G42" i="3"/>
  <c r="F42" i="3"/>
  <c r="E42" i="3"/>
  <c r="P31" i="3"/>
  <c r="O31" i="3"/>
  <c r="N31" i="3"/>
  <c r="M31" i="3"/>
  <c r="L31" i="3"/>
  <c r="K31" i="3"/>
  <c r="J31" i="3"/>
  <c r="I31" i="3"/>
  <c r="H31" i="3"/>
  <c r="G31" i="3"/>
  <c r="F31" i="3"/>
  <c r="E31" i="3"/>
  <c r="P30" i="3"/>
  <c r="O30" i="3"/>
  <c r="N30" i="3"/>
  <c r="M30" i="3"/>
  <c r="L30" i="3"/>
  <c r="K30" i="3"/>
  <c r="J30" i="3"/>
  <c r="I30" i="3"/>
  <c r="H30" i="3"/>
  <c r="G30" i="3"/>
  <c r="F30" i="3"/>
  <c r="E30" i="3"/>
  <c r="P19" i="3"/>
  <c r="O19" i="3"/>
  <c r="N19" i="3"/>
  <c r="M19" i="3"/>
  <c r="L19" i="3"/>
  <c r="K19" i="3"/>
  <c r="J19" i="3"/>
  <c r="I19" i="3"/>
  <c r="H19" i="3"/>
  <c r="G19" i="3"/>
  <c r="P18" i="3"/>
  <c r="O18" i="3"/>
  <c r="N18" i="3"/>
  <c r="M18" i="3"/>
  <c r="L18" i="3"/>
  <c r="K18" i="3"/>
  <c r="J18" i="3"/>
  <c r="I18" i="3"/>
  <c r="H18" i="3"/>
  <c r="G18" i="3"/>
  <c r="F19" i="3"/>
  <c r="F18" i="3"/>
  <c r="E19" i="3"/>
  <c r="E18" i="3"/>
  <c r="R22" i="3"/>
  <c r="Q22" i="3"/>
  <c r="R21" i="3"/>
  <c r="Q21" i="3"/>
  <c r="Q9" i="3"/>
  <c r="Q10" i="3"/>
  <c r="Q11" i="3"/>
  <c r="N59" i="1"/>
  <c r="N58" i="1"/>
  <c r="M59" i="1"/>
  <c r="M58" i="1"/>
  <c r="M70" i="1"/>
  <c r="Q54" i="4" l="1"/>
  <c r="Q77" i="1"/>
  <c r="Q31" i="4"/>
  <c r="R42" i="4"/>
  <c r="R54" i="4"/>
  <c r="Q55" i="4"/>
  <c r="R77" i="1"/>
  <c r="Q74" i="1"/>
  <c r="Q72" i="1"/>
  <c r="Q73" i="1"/>
  <c r="R74" i="1"/>
  <c r="R73" i="1"/>
  <c r="R72" i="1"/>
  <c r="Q76" i="1"/>
  <c r="Q75" i="1"/>
  <c r="R76" i="1"/>
  <c r="R75" i="1"/>
  <c r="R55" i="4"/>
  <c r="Q42" i="4"/>
  <c r="Q61" i="4"/>
  <c r="R61" i="4"/>
  <c r="Q43" i="4"/>
  <c r="Q30" i="4"/>
  <c r="Q59" i="4"/>
  <c r="Q60" i="4"/>
  <c r="R59" i="4"/>
  <c r="R60" i="4"/>
  <c r="R31" i="4"/>
  <c r="Q58" i="4"/>
  <c r="Q56" i="4"/>
  <c r="Q57" i="4"/>
  <c r="R58" i="4"/>
  <c r="R56" i="4"/>
  <c r="R57" i="4"/>
  <c r="R61" i="2"/>
  <c r="Q61" i="2"/>
  <c r="Q60" i="2"/>
  <c r="Q59" i="2"/>
  <c r="R60" i="2"/>
  <c r="R59" i="2"/>
  <c r="R58" i="2"/>
  <c r="R57" i="2"/>
  <c r="R56" i="2"/>
  <c r="Q58" i="2"/>
  <c r="Q57" i="2"/>
  <c r="Q56" i="2"/>
  <c r="R58" i="6"/>
  <c r="R61" i="6"/>
  <c r="Q61" i="6"/>
  <c r="Q59" i="6"/>
  <c r="R59" i="6"/>
  <c r="Q56" i="6"/>
  <c r="R57" i="6"/>
  <c r="R56" i="6"/>
  <c r="R60" i="6"/>
  <c r="Q60" i="6"/>
  <c r="Q58" i="6"/>
  <c r="Q57" i="6"/>
  <c r="R46" i="1"/>
  <c r="R61" i="3"/>
  <c r="R31" i="3"/>
  <c r="R42" i="3"/>
  <c r="Q61" i="3"/>
  <c r="Q55" i="3"/>
  <c r="R18" i="3"/>
  <c r="R56" i="3"/>
  <c r="R55" i="3"/>
  <c r="Q42" i="3"/>
  <c r="Q56" i="3"/>
  <c r="Q59" i="3"/>
  <c r="Q19" i="3"/>
  <c r="Q18" i="3"/>
  <c r="R19" i="3"/>
  <c r="Q30" i="3"/>
  <c r="Q43" i="3"/>
  <c r="R30" i="3"/>
  <c r="R43" i="3"/>
  <c r="R60" i="3"/>
  <c r="Q60" i="3"/>
  <c r="R59" i="3"/>
  <c r="Q31" i="3"/>
  <c r="Q54" i="3"/>
  <c r="R54" i="3"/>
  <c r="R58" i="3"/>
  <c r="Q58" i="3"/>
  <c r="R57" i="3"/>
  <c r="Q57" i="3"/>
  <c r="R43" i="4"/>
  <c r="R30" i="4"/>
  <c r="Q18" i="4"/>
  <c r="Q19" i="4"/>
  <c r="R18" i="4"/>
  <c r="R19" i="4"/>
  <c r="P55" i="2"/>
  <c r="O55" i="2"/>
  <c r="N55" i="2"/>
  <c r="M55" i="2"/>
  <c r="L55" i="2"/>
  <c r="K55" i="2"/>
  <c r="J55" i="2"/>
  <c r="I55" i="2"/>
  <c r="H55" i="2"/>
  <c r="G55" i="2"/>
  <c r="F55" i="2"/>
  <c r="E55" i="2"/>
  <c r="P54" i="2"/>
  <c r="O54" i="2"/>
  <c r="N54" i="2"/>
  <c r="M54" i="2"/>
  <c r="L54" i="2"/>
  <c r="K54" i="2"/>
  <c r="J54" i="2"/>
  <c r="I54" i="2"/>
  <c r="H54" i="2"/>
  <c r="G54" i="2"/>
  <c r="F54" i="2"/>
  <c r="E54" i="2"/>
  <c r="P55" i="6"/>
  <c r="O55" i="6"/>
  <c r="N55" i="6"/>
  <c r="M55" i="6"/>
  <c r="L55" i="6"/>
  <c r="K55" i="6"/>
  <c r="J55" i="6"/>
  <c r="I55" i="6"/>
  <c r="H55" i="6"/>
  <c r="G55" i="6"/>
  <c r="F55" i="6"/>
  <c r="E55" i="6"/>
  <c r="P54" i="6"/>
  <c r="O54" i="6"/>
  <c r="N54" i="6"/>
  <c r="M54" i="6"/>
  <c r="L54" i="6"/>
  <c r="K54" i="6"/>
  <c r="J54" i="6"/>
  <c r="I54" i="6"/>
  <c r="H54" i="6"/>
  <c r="G54" i="6"/>
  <c r="F54" i="6"/>
  <c r="E54" i="6"/>
  <c r="P71" i="1"/>
  <c r="O71" i="1"/>
  <c r="N71" i="1"/>
  <c r="M71" i="1"/>
  <c r="L71" i="1"/>
  <c r="K71" i="1"/>
  <c r="J71" i="1"/>
  <c r="I71" i="1"/>
  <c r="H71" i="1"/>
  <c r="G71" i="1"/>
  <c r="F71" i="1"/>
  <c r="E71" i="1"/>
  <c r="P70" i="1"/>
  <c r="O70" i="1"/>
  <c r="N70" i="1"/>
  <c r="L70" i="1"/>
  <c r="K70" i="1"/>
  <c r="J70" i="1"/>
  <c r="I70" i="1"/>
  <c r="H70" i="1"/>
  <c r="G70" i="1"/>
  <c r="F70" i="1"/>
  <c r="R55" i="6" l="1"/>
  <c r="R55" i="2"/>
  <c r="R54" i="2"/>
  <c r="R54" i="6"/>
  <c r="Q54" i="6"/>
  <c r="R71" i="1"/>
  <c r="Q55" i="2"/>
  <c r="Q54" i="2"/>
  <c r="Q55" i="6"/>
  <c r="Q70" i="1"/>
  <c r="Q71" i="1"/>
  <c r="R70" i="1"/>
  <c r="E59" i="1" l="1"/>
  <c r="P43" i="2"/>
  <c r="O43" i="2"/>
  <c r="N43" i="2"/>
  <c r="M43" i="2"/>
  <c r="L43" i="2"/>
  <c r="K43" i="2"/>
  <c r="J43" i="2"/>
  <c r="I43" i="2"/>
  <c r="H43" i="2"/>
  <c r="G43" i="2"/>
  <c r="F43" i="2"/>
  <c r="E43" i="2"/>
  <c r="P42" i="2"/>
  <c r="O42" i="2"/>
  <c r="N42" i="2"/>
  <c r="M42" i="2"/>
  <c r="L42" i="2"/>
  <c r="K42" i="2"/>
  <c r="J42" i="2"/>
  <c r="I42" i="2"/>
  <c r="H42" i="2"/>
  <c r="G42" i="2"/>
  <c r="F42" i="2"/>
  <c r="E42" i="2"/>
  <c r="P31" i="2"/>
  <c r="O31" i="2"/>
  <c r="N31" i="2"/>
  <c r="M31" i="2"/>
  <c r="L31" i="2"/>
  <c r="K31" i="2"/>
  <c r="J31" i="2"/>
  <c r="I31" i="2"/>
  <c r="H31" i="2"/>
  <c r="G31" i="2"/>
  <c r="F31" i="2"/>
  <c r="E31" i="2"/>
  <c r="P30" i="2"/>
  <c r="O30" i="2"/>
  <c r="N30" i="2"/>
  <c r="M30" i="2"/>
  <c r="L30" i="2"/>
  <c r="K30" i="2"/>
  <c r="J30" i="2"/>
  <c r="I30" i="2"/>
  <c r="H30" i="2"/>
  <c r="G30" i="2"/>
  <c r="F30" i="2"/>
  <c r="E30" i="2"/>
  <c r="P19" i="2"/>
  <c r="O19" i="2"/>
  <c r="N19" i="2"/>
  <c r="M19" i="2"/>
  <c r="L19" i="2"/>
  <c r="K19" i="2"/>
  <c r="J19" i="2"/>
  <c r="I19" i="2"/>
  <c r="H19" i="2"/>
  <c r="G19" i="2"/>
  <c r="F19" i="2"/>
  <c r="E19" i="2"/>
  <c r="P18" i="2"/>
  <c r="O18" i="2"/>
  <c r="N18" i="2"/>
  <c r="M18" i="2"/>
  <c r="L18" i="2"/>
  <c r="K18" i="2"/>
  <c r="J18" i="2"/>
  <c r="I18" i="2"/>
  <c r="H18" i="2"/>
  <c r="G18" i="2"/>
  <c r="F18" i="2"/>
  <c r="E18" i="2"/>
  <c r="Q19" i="2" l="1"/>
  <c r="Q43" i="2"/>
  <c r="R42" i="2"/>
  <c r="Q42" i="2"/>
  <c r="R18" i="2"/>
  <c r="Q30" i="2"/>
  <c r="Q31" i="2"/>
  <c r="R19" i="2"/>
  <c r="Q18" i="2"/>
  <c r="R43" i="2"/>
  <c r="R31" i="2"/>
  <c r="R30" i="2"/>
  <c r="P43" i="6"/>
  <c r="O43" i="6"/>
  <c r="N43" i="6"/>
  <c r="M43" i="6"/>
  <c r="L43" i="6"/>
  <c r="K43" i="6"/>
  <c r="J43" i="6"/>
  <c r="I43" i="6"/>
  <c r="H43" i="6"/>
  <c r="G43" i="6"/>
  <c r="F43" i="6"/>
  <c r="E43" i="6"/>
  <c r="P42" i="6"/>
  <c r="O42" i="6"/>
  <c r="N42" i="6"/>
  <c r="M42" i="6"/>
  <c r="L42" i="6"/>
  <c r="K42" i="6"/>
  <c r="J42" i="6"/>
  <c r="I42" i="6"/>
  <c r="H42" i="6"/>
  <c r="G42" i="6"/>
  <c r="F42" i="6"/>
  <c r="E42" i="6"/>
  <c r="P31" i="6"/>
  <c r="O31" i="6"/>
  <c r="N31" i="6"/>
  <c r="M31" i="6"/>
  <c r="L31" i="6"/>
  <c r="K31" i="6"/>
  <c r="J31" i="6"/>
  <c r="I31" i="6"/>
  <c r="H31" i="6"/>
  <c r="G31" i="6"/>
  <c r="F31" i="6"/>
  <c r="E31" i="6"/>
  <c r="P30" i="6"/>
  <c r="O30" i="6"/>
  <c r="N30" i="6"/>
  <c r="M30" i="6"/>
  <c r="L30" i="6"/>
  <c r="K30" i="6"/>
  <c r="J30" i="6"/>
  <c r="I30" i="6"/>
  <c r="H30" i="6"/>
  <c r="G30" i="6"/>
  <c r="F30" i="6"/>
  <c r="E30" i="6"/>
  <c r="P19" i="6"/>
  <c r="O19" i="6"/>
  <c r="N19" i="6"/>
  <c r="M19" i="6"/>
  <c r="L19" i="6"/>
  <c r="K19" i="6"/>
  <c r="J19" i="6"/>
  <c r="I19" i="6"/>
  <c r="H19" i="6"/>
  <c r="G19" i="6"/>
  <c r="F19" i="6"/>
  <c r="E19" i="6"/>
  <c r="P18" i="6"/>
  <c r="O18" i="6"/>
  <c r="N18" i="6"/>
  <c r="M18" i="6"/>
  <c r="L18" i="6"/>
  <c r="K18" i="6"/>
  <c r="J18" i="6"/>
  <c r="I18" i="6"/>
  <c r="H18" i="6"/>
  <c r="G18" i="6"/>
  <c r="F18" i="6"/>
  <c r="E18" i="6"/>
  <c r="P59" i="1"/>
  <c r="O59" i="1"/>
  <c r="L59" i="1"/>
  <c r="K59" i="1"/>
  <c r="J59" i="1"/>
  <c r="I59" i="1"/>
  <c r="H59" i="1"/>
  <c r="G59" i="1"/>
  <c r="F59" i="1"/>
  <c r="P58" i="1"/>
  <c r="O58" i="1"/>
  <c r="L58" i="1"/>
  <c r="K58" i="1"/>
  <c r="J58" i="1"/>
  <c r="I58" i="1"/>
  <c r="H58" i="1"/>
  <c r="G58" i="1"/>
  <c r="F58" i="1"/>
  <c r="E58" i="1"/>
  <c r="R30" i="6" l="1"/>
  <c r="Q42" i="6"/>
  <c r="Q18" i="6"/>
  <c r="R42" i="6"/>
  <c r="Q19" i="6"/>
  <c r="Q59" i="1"/>
  <c r="R19" i="6"/>
  <c r="R18" i="6"/>
  <c r="Q31" i="6"/>
  <c r="Q43" i="6"/>
  <c r="R31" i="6"/>
  <c r="R43" i="6"/>
  <c r="Q30" i="6"/>
  <c r="R58" i="1"/>
  <c r="Q58" i="1"/>
  <c r="R59" i="1"/>
  <c r="P47" i="1" l="1"/>
  <c r="O47" i="1"/>
  <c r="N47" i="1"/>
  <c r="M47" i="1"/>
  <c r="L47" i="1"/>
  <c r="K47" i="1"/>
  <c r="J47" i="1"/>
  <c r="I47" i="1"/>
  <c r="H47" i="1"/>
  <c r="G47" i="1"/>
  <c r="F47" i="1"/>
  <c r="E47" i="1"/>
  <c r="P46" i="1"/>
  <c r="O46" i="1"/>
  <c r="N46" i="1"/>
  <c r="M46" i="1"/>
  <c r="L46" i="1"/>
  <c r="K46" i="1"/>
  <c r="J46" i="1"/>
  <c r="I46" i="1"/>
  <c r="H46" i="1"/>
  <c r="G46" i="1"/>
  <c r="F46" i="1"/>
  <c r="E46" i="1"/>
  <c r="P35" i="1"/>
  <c r="O35" i="1"/>
  <c r="N35" i="1"/>
  <c r="M35" i="1"/>
  <c r="L35" i="1"/>
  <c r="K35" i="1"/>
  <c r="J35" i="1"/>
  <c r="I35" i="1"/>
  <c r="H35" i="1"/>
  <c r="G35" i="1"/>
  <c r="F35" i="1"/>
  <c r="E35" i="1"/>
  <c r="P34" i="1"/>
  <c r="O34" i="1"/>
  <c r="N34" i="1"/>
  <c r="M34" i="1"/>
  <c r="L34" i="1"/>
  <c r="K34" i="1"/>
  <c r="J34" i="1"/>
  <c r="I34" i="1"/>
  <c r="H34" i="1"/>
  <c r="G34" i="1"/>
  <c r="F34" i="1"/>
  <c r="Q47" i="1" l="1"/>
  <c r="R34" i="1"/>
  <c r="Q35" i="1"/>
  <c r="R47" i="1"/>
  <c r="R35" i="1"/>
  <c r="Q34" i="1"/>
  <c r="Q46" i="1"/>
</calcChain>
</file>

<file path=xl/sharedStrings.xml><?xml version="1.0" encoding="utf-8"?>
<sst xmlns="http://schemas.openxmlformats.org/spreadsheetml/2006/main" count="436" uniqueCount="91">
  <si>
    <t>Study Condition</t>
  </si>
  <si>
    <t>Abbreviations</t>
  </si>
  <si>
    <t>Contact and Grant Acknowledgement</t>
  </si>
  <si>
    <t xml:space="preserve">  1.   Room temperature:</t>
  </si>
  <si>
    <t>22 °C</t>
  </si>
  <si>
    <t xml:space="preserve">  2.   Humidity:</t>
  </si>
  <si>
    <t xml:space="preserve">  3.   Sound (backgroud):</t>
  </si>
  <si>
    <t xml:space="preserve">  4.   Light intensity:</t>
  </si>
  <si>
    <t xml:space="preserve">  5.   Strain/gender</t>
  </si>
  <si>
    <t xml:space="preserve">  6.   Groups:</t>
  </si>
  <si>
    <t>Noldus Ethovision XT</t>
  </si>
  <si>
    <t xml:space="preserve">  1.   Distance Traveled:</t>
  </si>
  <si>
    <t xml:space="preserve">Total distance the animal traveled </t>
  </si>
  <si>
    <t xml:space="preserve">  2.   Average Velocity:</t>
  </si>
  <si>
    <t>Average velocity the animals traveled</t>
  </si>
  <si>
    <t xml:space="preserve">  3.   In Zone Frequency:</t>
  </si>
  <si>
    <t>Frequency of the animals entering each</t>
  </si>
  <si>
    <t>zone</t>
  </si>
  <si>
    <t xml:space="preserve">  4.   In Zone Duration:</t>
  </si>
  <si>
    <t>Time the animal spent in each zone</t>
  </si>
  <si>
    <t xml:space="preserve">  5.   Rearing Supported:</t>
  </si>
  <si>
    <t>with support (i.e. along the wall)</t>
  </si>
  <si>
    <t xml:space="preserve">  6.   Movement:</t>
  </si>
  <si>
    <t xml:space="preserve">Percentage of total time the animal was </t>
  </si>
  <si>
    <t>moving or stationary</t>
  </si>
  <si>
    <t xml:space="preserve">1.  If you have any questions regarding the study procedures and the calculation </t>
  </si>
  <si>
    <t xml:space="preserve">2.  If you have any questions regarding the charges of the services or other administrative </t>
  </si>
  <si>
    <t xml:space="preserve">3.  If you include these results in any publications, please mention us as the  "University of </t>
  </si>
  <si>
    <t xml:space="preserve">     Michigan Animal Phenotyping Core" for conducting the study. The study was supported </t>
  </si>
  <si>
    <t xml:space="preserve">     Our productivity and effectiveness as a Core is measured in part by the citation of the </t>
  </si>
  <si>
    <r>
      <t xml:space="preserve">     equations, please contact Nathan Qi at:    </t>
    </r>
    <r>
      <rPr>
        <b/>
        <sz val="10.5"/>
        <color rgb="FFC00000"/>
        <rFont val="Arial"/>
        <family val="2"/>
      </rPr>
      <t>(734) 232-8223 or nathanqi@med.umich.edu</t>
    </r>
  </si>
  <si>
    <t>00:00-05:00</t>
  </si>
  <si>
    <t>05:01-10:00</t>
  </si>
  <si>
    <t>10:01-15:00</t>
  </si>
  <si>
    <t>15:01-20:00</t>
  </si>
  <si>
    <t>20:01-25:00</t>
  </si>
  <si>
    <t>25:01-30:00</t>
  </si>
  <si>
    <t>Total</t>
  </si>
  <si>
    <t>Duration</t>
  </si>
  <si>
    <t>Frequency</t>
  </si>
  <si>
    <t>Animal#</t>
  </si>
  <si>
    <t>Sex/DOB</t>
  </si>
  <si>
    <t>ID</t>
  </si>
  <si>
    <t>(%)</t>
  </si>
  <si>
    <t>(times)</t>
  </si>
  <si>
    <t>Group 1</t>
  </si>
  <si>
    <t>Avg</t>
  </si>
  <si>
    <t>se</t>
  </si>
  <si>
    <t>Group 2</t>
  </si>
  <si>
    <t>2-Tail T-Test</t>
  </si>
  <si>
    <t>(G1 vs. G2)</t>
  </si>
  <si>
    <t>Distance</t>
  </si>
  <si>
    <t>Velocity</t>
  </si>
  <si>
    <t>(cm)</t>
  </si>
  <si>
    <t>(cm/s)</t>
  </si>
  <si>
    <t>Moving</t>
  </si>
  <si>
    <t>Not Moving</t>
  </si>
  <si>
    <t>Group 3</t>
  </si>
  <si>
    <t>(G1 vs. G3)</t>
  </si>
  <si>
    <t>(G2 vs. G3)</t>
  </si>
  <si>
    <t>35.3-45.4 dB</t>
  </si>
  <si>
    <r>
      <t xml:space="preserve">     work, please contact Zhe Wu at:   </t>
    </r>
    <r>
      <rPr>
        <b/>
        <sz val="10.5"/>
        <color rgb="FFC00000"/>
        <rFont val="Arial"/>
        <family val="2"/>
      </rPr>
      <t xml:space="preserve"> (734) 764-7043 or zhewu@med.umich.edu</t>
    </r>
    <r>
      <rPr>
        <b/>
        <sz val="10.5"/>
        <color theme="1"/>
        <rFont val="Arial"/>
        <family val="2"/>
      </rPr>
      <t xml:space="preserve">  </t>
    </r>
  </si>
  <si>
    <t xml:space="preserve">Time or frequency the animal had rearing </t>
  </si>
  <si>
    <t>Group 4</t>
  </si>
  <si>
    <t>(G1 vs. G4)</t>
  </si>
  <si>
    <t>(G2 vs. G4)</t>
  </si>
  <si>
    <t>(G3 vs. G4)</t>
  </si>
  <si>
    <t>1 hour prior to testing</t>
  </si>
  <si>
    <t>10:00 am to 3pm, 30 min each subject</t>
  </si>
  <si>
    <t>45x45x30 (cm3)</t>
  </si>
  <si>
    <t>Total (Average)</t>
  </si>
  <si>
    <r>
      <t xml:space="preserve">     by NIDDK Mouse Metabolic Phenotyping Center (MMPC-</t>
    </r>
    <r>
      <rPr>
        <b/>
        <i/>
        <sz val="10.5"/>
        <color theme="1"/>
        <rFont val="Arial"/>
        <family val="2"/>
      </rPr>
      <t>Live</t>
    </r>
    <r>
      <rPr>
        <b/>
        <sz val="10.5"/>
        <color theme="1"/>
        <rFont val="Arial"/>
        <family val="2"/>
      </rPr>
      <t xml:space="preserve">): </t>
    </r>
    <r>
      <rPr>
        <b/>
        <sz val="10.5"/>
        <color rgb="FFC00000"/>
        <rFont val="Arial"/>
        <family val="2"/>
      </rPr>
      <t>1U2CDK110768</t>
    </r>
    <r>
      <rPr>
        <b/>
        <sz val="10.5"/>
        <color theme="1"/>
        <rFont val="Arial"/>
        <family val="2"/>
      </rPr>
      <t xml:space="preserve">. </t>
    </r>
  </si>
  <si>
    <t>300 lux</t>
  </si>
  <si>
    <t>C57BL6/J Male</t>
  </si>
  <si>
    <t>2) HFD CUS</t>
  </si>
  <si>
    <t>1) HFD CON</t>
  </si>
  <si>
    <t>1) High Fat Diet</t>
  </si>
  <si>
    <t xml:space="preserve">  7.   Diet:</t>
  </si>
  <si>
    <t xml:space="preserve">        (wt%, Protein/Carb/Fat)</t>
  </si>
  <si>
    <t xml:space="preserve">  8.   Acclimation Time:</t>
  </si>
  <si>
    <t xml:space="preserve"> 10.  Tracking Software:</t>
  </si>
  <si>
    <t xml:space="preserve"> 11.  Open field box size: </t>
  </si>
  <si>
    <t>HFD CUS</t>
  </si>
  <si>
    <t>HFD CON</t>
  </si>
  <si>
    <t>M 24-25wks</t>
  </si>
  <si>
    <t xml:space="preserve">  9.  Test Run Time:</t>
  </si>
  <si>
    <t>(25.0/47.5/5.0)</t>
  </si>
  <si>
    <t>(with 60% Fat D12492)</t>
  </si>
  <si>
    <t>M 25-26wks</t>
  </si>
  <si>
    <t>2025-10-22 ~11-5, 10:00AM</t>
  </si>
  <si>
    <t xml:space="preserve">     grant in published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</si>
</sst>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indexed="13"/>
      <name val="Arial"/>
      <family val="2"/>
    </font>
    <font>
      <i/>
      <sz val="10"/>
      <color rgb="FFFFC000"/>
      <name val="Arial"/>
      <family val="2"/>
    </font>
    <font>
      <sz val="16"/>
      <color rgb="FF000099"/>
      <name val="Arial Rounded MT Bold"/>
      <family val="2"/>
    </font>
    <font>
      <b/>
      <sz val="10.5"/>
      <color theme="1"/>
      <name val="Arial"/>
      <family val="2"/>
    </font>
    <font>
      <b/>
      <sz val="10.5"/>
      <name val="Arial"/>
      <family val="2"/>
    </font>
    <font>
      <b/>
      <sz val="10.5"/>
      <color rgb="FFC00000"/>
      <name val="Arial"/>
      <family val="2"/>
    </font>
    <font>
      <b/>
      <sz val="11"/>
      <color theme="1"/>
      <name val="Arial"/>
      <family val="2"/>
    </font>
    <font>
      <b/>
      <sz val="16"/>
      <color rgb="FF000099"/>
      <name val="Arial"/>
      <family val="2"/>
    </font>
    <font>
      <b/>
      <sz val="16"/>
      <color rgb="FF0000CC"/>
      <name val="Arial"/>
      <family val="2"/>
    </font>
    <font>
      <b/>
      <sz val="12"/>
      <color indexed="9"/>
      <name val="Arial"/>
      <family val="2"/>
    </font>
    <font>
      <b/>
      <sz val="10.5"/>
      <color theme="1"/>
      <name val="Arial Narrow"/>
      <family val="2"/>
    </font>
    <font>
      <sz val="10.5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rgb="FFC0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00CC"/>
      <name val="Arial"/>
      <family val="2"/>
    </font>
    <font>
      <b/>
      <i/>
      <sz val="10.5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5">
    <xf numFmtId="0" fontId="0" fillId="0" borderId="0" xfId="0"/>
    <xf numFmtId="0" fontId="0" fillId="2" borderId="0" xfId="0" applyFill="1"/>
    <xf numFmtId="0" fontId="0" fillId="2" borderId="0" xfId="0" applyFill="1" applyProtection="1">
      <protection hidden="1"/>
    </xf>
    <xf numFmtId="0" fontId="5" fillId="3" borderId="1" xfId="0" applyFont="1" applyFill="1" applyBorder="1" applyProtection="1">
      <protection hidden="1"/>
    </xf>
    <xf numFmtId="0" fontId="5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5" fillId="3" borderId="2" xfId="0" applyFont="1" applyFill="1" applyBorder="1" applyProtection="1">
      <protection hidden="1"/>
    </xf>
    <xf numFmtId="9" fontId="6" fillId="3" borderId="0" xfId="0" applyNumberFormat="1" applyFont="1" applyFill="1" applyAlignment="1" applyProtection="1">
      <alignment horizontal="left"/>
      <protection hidden="1"/>
    </xf>
    <xf numFmtId="0" fontId="5" fillId="3" borderId="6" xfId="0" applyFont="1" applyFill="1" applyBorder="1" applyProtection="1">
      <protection hidden="1"/>
    </xf>
    <xf numFmtId="0" fontId="5" fillId="3" borderId="7" xfId="0" applyFont="1" applyFill="1" applyBorder="1" applyProtection="1">
      <protection hidden="1"/>
    </xf>
    <xf numFmtId="0" fontId="5" fillId="3" borderId="8" xfId="0" applyFont="1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9" fillId="3" borderId="1" xfId="0" applyFont="1" applyFill="1" applyBorder="1" applyProtection="1">
      <protection hidden="1"/>
    </xf>
    <xf numFmtId="0" fontId="10" fillId="3" borderId="0" xfId="0" applyFont="1" applyFill="1" applyProtection="1">
      <protection hidden="1"/>
    </xf>
    <xf numFmtId="0" fontId="11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2" fontId="0" fillId="3" borderId="0" xfId="0" applyNumberFormat="1" applyFill="1" applyProtection="1">
      <protection hidden="1"/>
    </xf>
    <xf numFmtId="0" fontId="0" fillId="3" borderId="2" xfId="0" applyFill="1" applyBorder="1" applyProtection="1"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8" fillId="3" borderId="10" xfId="0" applyFont="1" applyFill="1" applyBorder="1" applyAlignment="1" applyProtection="1">
      <alignment vertical="center"/>
      <protection hidden="1"/>
    </xf>
    <xf numFmtId="0" fontId="8" fillId="3" borderId="11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0" fontId="8" fillId="3" borderId="2" xfId="0" applyFont="1" applyFill="1" applyBorder="1" applyAlignment="1" applyProtection="1">
      <alignment vertical="center"/>
      <protection hidden="1"/>
    </xf>
    <xf numFmtId="0" fontId="5" fillId="3" borderId="9" xfId="0" applyFont="1" applyFill="1" applyBorder="1" applyAlignment="1" applyProtection="1">
      <alignment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2" xfId="0" applyFont="1" applyFill="1" applyBorder="1" applyAlignment="1" applyProtection="1">
      <alignment horizontal="center" vertical="center" wrapText="1"/>
      <protection hidden="1"/>
    </xf>
    <xf numFmtId="0" fontId="0" fillId="3" borderId="6" xfId="0" applyFill="1" applyBorder="1" applyProtection="1">
      <protection hidden="1"/>
    </xf>
    <xf numFmtId="0" fontId="8" fillId="3" borderId="7" xfId="0" applyFont="1" applyFill="1" applyBorder="1" applyAlignment="1" applyProtection="1">
      <alignment horizontal="center"/>
      <protection hidden="1"/>
    </xf>
    <xf numFmtId="0" fontId="8" fillId="3" borderId="8" xfId="0" applyFont="1" applyFill="1" applyBorder="1" applyAlignment="1" applyProtection="1">
      <alignment horizontal="center"/>
      <protection hidden="1"/>
    </xf>
    <xf numFmtId="0" fontId="13" fillId="3" borderId="13" xfId="0" applyFont="1" applyFill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14" fillId="4" borderId="13" xfId="0" applyFont="1" applyFill="1" applyBorder="1" applyAlignment="1" applyProtection="1">
      <alignment horizontal="center"/>
      <protection hidden="1"/>
    </xf>
    <xf numFmtId="0" fontId="14" fillId="4" borderId="13" xfId="0" applyFont="1" applyFill="1" applyBorder="1" applyAlignment="1" applyProtection="1">
      <alignment horizontal="center" wrapText="1"/>
      <protection hidden="1"/>
    </xf>
    <xf numFmtId="0" fontId="14" fillId="5" borderId="12" xfId="0" applyFont="1" applyFill="1" applyBorder="1" applyAlignment="1" applyProtection="1">
      <alignment horizontal="center"/>
      <protection hidden="1"/>
    </xf>
    <xf numFmtId="0" fontId="17" fillId="5" borderId="10" xfId="0" applyFont="1" applyFill="1" applyBorder="1" applyAlignment="1" applyProtection="1">
      <alignment horizontal="center"/>
      <protection hidden="1"/>
    </xf>
    <xf numFmtId="0" fontId="14" fillId="5" borderId="13" xfId="0" applyFont="1" applyFill="1" applyBorder="1" applyAlignment="1" applyProtection="1">
      <alignment horizontal="center" wrapText="1"/>
      <protection hidden="1"/>
    </xf>
    <xf numFmtId="0" fontId="17" fillId="5" borderId="0" xfId="0" applyFont="1" applyFill="1" applyAlignment="1" applyProtection="1">
      <alignment horizontal="center" wrapText="1"/>
      <protection hidden="1"/>
    </xf>
    <xf numFmtId="0" fontId="17" fillId="6" borderId="9" xfId="0" applyFont="1" applyFill="1" applyBorder="1" applyAlignment="1" applyProtection="1">
      <alignment horizontal="center" wrapText="1"/>
      <protection hidden="1"/>
    </xf>
    <xf numFmtId="0" fontId="17" fillId="6" borderId="1" xfId="0" applyFont="1" applyFill="1" applyBorder="1" applyAlignment="1" applyProtection="1">
      <alignment horizontal="center" wrapText="1"/>
      <protection hidden="1"/>
    </xf>
    <xf numFmtId="0" fontId="14" fillId="6" borderId="13" xfId="0" applyFont="1" applyFill="1" applyBorder="1" applyAlignment="1" applyProtection="1">
      <alignment horizontal="center" wrapText="1"/>
      <protection hidden="1"/>
    </xf>
    <xf numFmtId="0" fontId="17" fillId="6" borderId="0" xfId="0" applyFont="1" applyFill="1" applyAlignment="1" applyProtection="1">
      <alignment horizontal="center" wrapText="1"/>
      <protection hidden="1"/>
    </xf>
    <xf numFmtId="0" fontId="0" fillId="3" borderId="7" xfId="0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12" fillId="3" borderId="9" xfId="0" applyFont="1" applyFill="1" applyBorder="1" applyAlignment="1" applyProtection="1">
      <alignment horizontal="center" vertical="center" wrapText="1"/>
      <protection hidden="1"/>
    </xf>
    <xf numFmtId="0" fontId="12" fillId="3" borderId="12" xfId="0" applyFont="1" applyFill="1" applyBorder="1" applyAlignment="1" applyProtection="1">
      <alignment horizontal="center" vertical="center" wrapText="1"/>
      <protection hidden="1"/>
    </xf>
    <xf numFmtId="0" fontId="5" fillId="3" borderId="10" xfId="0" applyFont="1" applyFill="1" applyBorder="1" applyAlignment="1" applyProtection="1">
      <alignment vertical="center" wrapText="1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/>
    <xf numFmtId="0" fontId="19" fillId="6" borderId="0" xfId="0" applyFont="1" applyFill="1" applyProtection="1">
      <protection hidden="1"/>
    </xf>
    <xf numFmtId="0" fontId="19" fillId="7" borderId="0" xfId="0" applyFont="1" applyFill="1" applyProtection="1">
      <protection hidden="1"/>
    </xf>
    <xf numFmtId="0" fontId="17" fillId="7" borderId="9" xfId="0" applyFont="1" applyFill="1" applyBorder="1" applyAlignment="1" applyProtection="1">
      <alignment horizontal="center" wrapText="1"/>
      <protection hidden="1"/>
    </xf>
    <xf numFmtId="0" fontId="17" fillId="7" borderId="1" xfId="0" applyFont="1" applyFill="1" applyBorder="1" applyAlignment="1" applyProtection="1">
      <alignment horizontal="center" wrapText="1"/>
      <protection hidden="1"/>
    </xf>
    <xf numFmtId="0" fontId="14" fillId="7" borderId="13" xfId="0" applyFont="1" applyFill="1" applyBorder="1" applyAlignment="1" applyProtection="1">
      <alignment horizontal="center" wrapText="1"/>
      <protection hidden="1"/>
    </xf>
    <xf numFmtId="0" fontId="17" fillId="7" borderId="0" xfId="0" applyFont="1" applyFill="1" applyAlignment="1" applyProtection="1">
      <alignment horizontal="center" wrapText="1"/>
      <protection hidden="1"/>
    </xf>
    <xf numFmtId="0" fontId="16" fillId="3" borderId="6" xfId="0" applyFont="1" applyFill="1" applyBorder="1" applyProtection="1">
      <protection hidden="1"/>
    </xf>
    <xf numFmtId="0" fontId="16" fillId="3" borderId="7" xfId="0" applyFont="1" applyFill="1" applyBorder="1" applyProtection="1">
      <protection hidden="1"/>
    </xf>
    <xf numFmtId="0" fontId="15" fillId="3" borderId="7" xfId="0" applyFont="1" applyFill="1" applyBorder="1" applyProtection="1">
      <protection hidden="1"/>
    </xf>
    <xf numFmtId="164" fontId="15" fillId="3" borderId="7" xfId="0" applyNumberFormat="1" applyFont="1" applyFill="1" applyBorder="1" applyAlignment="1" applyProtection="1">
      <alignment horizontal="center"/>
      <protection hidden="1"/>
    </xf>
    <xf numFmtId="164" fontId="18" fillId="3" borderId="7" xfId="0" applyNumberFormat="1" applyFont="1" applyFill="1" applyBorder="1" applyAlignment="1" applyProtection="1">
      <alignment horizontal="center"/>
      <protection hidden="1"/>
    </xf>
    <xf numFmtId="0" fontId="20" fillId="3" borderId="0" xfId="0" applyFont="1" applyFill="1" applyProtection="1">
      <protection hidden="1"/>
    </xf>
    <xf numFmtId="0" fontId="5" fillId="3" borderId="9" xfId="0" applyFont="1" applyFill="1" applyBorder="1" applyProtection="1">
      <protection hidden="1"/>
    </xf>
    <xf numFmtId="0" fontId="5" fillId="3" borderId="10" xfId="0" applyFont="1" applyFill="1" applyBorder="1" applyProtection="1">
      <protection hidden="1"/>
    </xf>
    <xf numFmtId="0" fontId="6" fillId="3" borderId="10" xfId="0" applyFont="1" applyFill="1" applyBorder="1" applyProtection="1">
      <protection hidden="1"/>
    </xf>
    <xf numFmtId="0" fontId="5" fillId="3" borderId="11" xfId="0" applyFont="1" applyFill="1" applyBorder="1" applyProtection="1">
      <protection hidden="1"/>
    </xf>
    <xf numFmtId="0" fontId="2" fillId="0" borderId="1" xfId="1" applyFont="1" applyBorder="1" applyProtection="1">
      <protection hidden="1"/>
    </xf>
    <xf numFmtId="0" fontId="2" fillId="0" borderId="0" xfId="1" applyFont="1" applyProtection="1">
      <protection hidden="1"/>
    </xf>
    <xf numFmtId="0" fontId="2" fillId="0" borderId="2" xfId="1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0" fillId="0" borderId="0" xfId="0" applyProtection="1">
      <protection hidden="1"/>
    </xf>
    <xf numFmtId="0" fontId="0" fillId="3" borderId="1" xfId="0" applyFill="1" applyBorder="1" applyProtection="1">
      <protection hidden="1"/>
    </xf>
    <xf numFmtId="0" fontId="17" fillId="4" borderId="0" xfId="0" applyFont="1" applyFill="1" applyAlignment="1" applyProtection="1">
      <alignment horizontal="center"/>
      <protection hidden="1"/>
    </xf>
    <xf numFmtId="0" fontId="21" fillId="4" borderId="0" xfId="0" applyFont="1" applyFill="1" applyAlignment="1" applyProtection="1">
      <alignment horizontal="left"/>
      <protection hidden="1"/>
    </xf>
    <xf numFmtId="2" fontId="21" fillId="0" borderId="9" xfId="0" applyNumberFormat="1" applyFont="1" applyBorder="1" applyProtection="1">
      <protection hidden="1"/>
    </xf>
    <xf numFmtId="1" fontId="21" fillId="0" borderId="11" xfId="0" applyNumberFormat="1" applyFont="1" applyBorder="1" applyProtection="1">
      <protection hidden="1"/>
    </xf>
    <xf numFmtId="2" fontId="21" fillId="0" borderId="10" xfId="0" applyNumberFormat="1" applyFont="1" applyBorder="1" applyProtection="1">
      <protection hidden="1"/>
    </xf>
    <xf numFmtId="1" fontId="21" fillId="0" borderId="10" xfId="0" applyNumberFormat="1" applyFont="1" applyBorder="1" applyProtection="1">
      <protection hidden="1"/>
    </xf>
    <xf numFmtId="0" fontId="17" fillId="4" borderId="0" xfId="0" applyFont="1" applyFill="1" applyAlignment="1" applyProtection="1">
      <alignment horizontal="center" wrapText="1"/>
      <protection hidden="1"/>
    </xf>
    <xf numFmtId="2" fontId="21" fillId="0" borderId="1" xfId="0" applyNumberFormat="1" applyFont="1" applyBorder="1" applyProtection="1">
      <protection hidden="1"/>
    </xf>
    <xf numFmtId="1" fontId="21" fillId="0" borderId="2" xfId="0" applyNumberFormat="1" applyFont="1" applyBorder="1" applyProtection="1">
      <protection hidden="1"/>
    </xf>
    <xf numFmtId="2" fontId="21" fillId="0" borderId="0" xfId="0" applyNumberFormat="1" applyFont="1" applyProtection="1">
      <protection hidden="1"/>
    </xf>
    <xf numFmtId="1" fontId="21" fillId="0" borderId="0" xfId="0" applyNumberFormat="1" applyFont="1" applyProtection="1">
      <protection hidden="1"/>
    </xf>
    <xf numFmtId="0" fontId="21" fillId="4" borderId="0" xfId="0" applyFont="1" applyFill="1" applyAlignment="1" applyProtection="1">
      <alignment horizontal="center"/>
      <protection hidden="1"/>
    </xf>
    <xf numFmtId="1" fontId="17" fillId="4" borderId="0" xfId="0" applyNumberFormat="1" applyFont="1" applyFill="1" applyAlignment="1" applyProtection="1">
      <alignment horizontal="left"/>
      <protection hidden="1"/>
    </xf>
    <xf numFmtId="2" fontId="21" fillId="0" borderId="2" xfId="0" applyNumberFormat="1" applyFont="1" applyBorder="1" applyProtection="1">
      <protection hidden="1"/>
    </xf>
    <xf numFmtId="0" fontId="21" fillId="0" borderId="0" xfId="0" applyFont="1" applyProtection="1">
      <protection hidden="1"/>
    </xf>
    <xf numFmtId="0" fontId="21" fillId="0" borderId="2" xfId="0" applyFont="1" applyBorder="1" applyProtection="1">
      <protection hidden="1"/>
    </xf>
    <xf numFmtId="2" fontId="21" fillId="0" borderId="6" xfId="0" applyNumberFormat="1" applyFont="1" applyBorder="1" applyProtection="1">
      <protection hidden="1"/>
    </xf>
    <xf numFmtId="2" fontId="21" fillId="0" borderId="8" xfId="0" applyNumberFormat="1" applyFont="1" applyBorder="1" applyProtection="1">
      <protection hidden="1"/>
    </xf>
    <xf numFmtId="0" fontId="21" fillId="0" borderId="7" xfId="0" applyFont="1" applyBorder="1" applyProtection="1">
      <protection hidden="1"/>
    </xf>
    <xf numFmtId="0" fontId="21" fillId="0" borderId="8" xfId="0" applyFont="1" applyBorder="1" applyProtection="1">
      <protection hidden="1"/>
    </xf>
    <xf numFmtId="0" fontId="21" fillId="4" borderId="13" xfId="0" applyFont="1" applyFill="1" applyBorder="1" applyProtection="1">
      <protection hidden="1"/>
    </xf>
    <xf numFmtId="0" fontId="21" fillId="4" borderId="0" xfId="0" applyFont="1" applyFill="1" applyProtection="1">
      <protection hidden="1"/>
    </xf>
    <xf numFmtId="2" fontId="22" fillId="0" borderId="9" xfId="0" applyNumberFormat="1" applyFont="1" applyBorder="1" applyAlignment="1" applyProtection="1">
      <alignment horizontal="center"/>
      <protection hidden="1"/>
    </xf>
    <xf numFmtId="2" fontId="22" fillId="0" borderId="11" xfId="0" applyNumberFormat="1" applyFont="1" applyBorder="1" applyAlignment="1" applyProtection="1">
      <alignment horizontal="center"/>
      <protection hidden="1"/>
    </xf>
    <xf numFmtId="2" fontId="22" fillId="0" borderId="1" xfId="0" applyNumberFormat="1" applyFont="1" applyBorder="1" applyAlignment="1" applyProtection="1">
      <alignment horizontal="center"/>
      <protection hidden="1"/>
    </xf>
    <xf numFmtId="2" fontId="22" fillId="0" borderId="2" xfId="0" applyNumberFormat="1" applyFont="1" applyBorder="1" applyAlignment="1" applyProtection="1">
      <alignment horizontal="center"/>
      <protection hidden="1"/>
    </xf>
    <xf numFmtId="2" fontId="22" fillId="0" borderId="10" xfId="0" applyNumberFormat="1" applyFont="1" applyBorder="1" applyAlignment="1" applyProtection="1">
      <alignment horizontal="center"/>
      <protection hidden="1"/>
    </xf>
    <xf numFmtId="2" fontId="22" fillId="0" borderId="0" xfId="0" applyNumberFormat="1" applyFont="1" applyAlignment="1" applyProtection="1">
      <alignment horizontal="center"/>
      <protection hidden="1"/>
    </xf>
    <xf numFmtId="2" fontId="22" fillId="0" borderId="6" xfId="0" applyNumberFormat="1" applyFont="1" applyBorder="1" applyAlignment="1" applyProtection="1">
      <alignment horizontal="center"/>
      <protection hidden="1"/>
    </xf>
    <xf numFmtId="2" fontId="22" fillId="0" borderId="8" xfId="0" applyNumberFormat="1" applyFont="1" applyBorder="1" applyAlignment="1" applyProtection="1">
      <alignment horizontal="center"/>
      <protection hidden="1"/>
    </xf>
    <xf numFmtId="2" fontId="22" fillId="0" borderId="7" xfId="0" applyNumberFormat="1" applyFont="1" applyBorder="1" applyAlignment="1" applyProtection="1">
      <alignment horizontal="center"/>
      <protection hidden="1"/>
    </xf>
    <xf numFmtId="0" fontId="21" fillId="5" borderId="10" xfId="0" applyFont="1" applyFill="1" applyBorder="1" applyAlignment="1" applyProtection="1">
      <alignment horizontal="left"/>
      <protection hidden="1"/>
    </xf>
    <xf numFmtId="0" fontId="21" fillId="5" borderId="0" xfId="0" applyFont="1" applyFill="1" applyAlignment="1" applyProtection="1">
      <alignment horizontal="left"/>
      <protection hidden="1"/>
    </xf>
    <xf numFmtId="0" fontId="21" fillId="0" borderId="2" xfId="0" applyFont="1" applyBorder="1"/>
    <xf numFmtId="2" fontId="21" fillId="0" borderId="0" xfId="0" applyNumberFormat="1" applyFont="1" applyAlignment="1" applyProtection="1">
      <alignment horizontal="right"/>
      <protection hidden="1"/>
    </xf>
    <xf numFmtId="1" fontId="21" fillId="0" borderId="2" xfId="0" applyNumberFormat="1" applyFont="1" applyBorder="1" applyAlignment="1" applyProtection="1">
      <alignment horizontal="right"/>
      <protection hidden="1"/>
    </xf>
    <xf numFmtId="2" fontId="21" fillId="0" borderId="1" xfId="0" applyNumberFormat="1" applyFont="1" applyBorder="1" applyAlignment="1" applyProtection="1">
      <alignment horizontal="right"/>
      <protection hidden="1"/>
    </xf>
    <xf numFmtId="1" fontId="21" fillId="0" borderId="0" xfId="0" applyNumberFormat="1" applyFont="1" applyAlignment="1" applyProtection="1">
      <alignment horizontal="right"/>
      <protection hidden="1"/>
    </xf>
    <xf numFmtId="1" fontId="17" fillId="5" borderId="2" xfId="0" applyNumberFormat="1" applyFont="1" applyFill="1" applyBorder="1" applyAlignment="1" applyProtection="1">
      <alignment horizontal="left"/>
      <protection hidden="1"/>
    </xf>
    <xf numFmtId="0" fontId="21" fillId="5" borderId="0" xfId="0" applyFont="1" applyFill="1" applyAlignment="1" applyProtection="1">
      <alignment horizontal="center"/>
      <protection hidden="1"/>
    </xf>
    <xf numFmtId="2" fontId="21" fillId="0" borderId="2" xfId="0" applyNumberFormat="1" applyFont="1" applyBorder="1" applyAlignment="1" applyProtection="1">
      <alignment horizontal="right"/>
      <protection hidden="1"/>
    </xf>
    <xf numFmtId="2" fontId="21" fillId="0" borderId="6" xfId="0" applyNumberFormat="1" applyFont="1" applyBorder="1" applyAlignment="1" applyProtection="1">
      <alignment horizontal="right"/>
      <protection hidden="1"/>
    </xf>
    <xf numFmtId="2" fontId="21" fillId="0" borderId="8" xfId="0" applyNumberFormat="1" applyFont="1" applyBorder="1" applyAlignment="1" applyProtection="1">
      <alignment horizontal="right"/>
      <protection hidden="1"/>
    </xf>
    <xf numFmtId="0" fontId="21" fillId="5" borderId="13" xfId="0" applyFont="1" applyFill="1" applyBorder="1" applyProtection="1">
      <protection hidden="1"/>
    </xf>
    <xf numFmtId="0" fontId="21" fillId="5" borderId="0" xfId="0" applyFont="1" applyFill="1" applyProtection="1">
      <protection hidden="1"/>
    </xf>
    <xf numFmtId="0" fontId="17" fillId="5" borderId="2" xfId="0" applyFont="1" applyFill="1" applyBorder="1" applyAlignment="1" applyProtection="1">
      <alignment horizontal="center"/>
      <protection hidden="1"/>
    </xf>
    <xf numFmtId="0" fontId="21" fillId="5" borderId="14" xfId="0" applyFont="1" applyFill="1" applyBorder="1" applyProtection="1">
      <protection hidden="1"/>
    </xf>
    <xf numFmtId="0" fontId="21" fillId="5" borderId="7" xfId="0" applyFont="1" applyFill="1" applyBorder="1" applyProtection="1">
      <protection hidden="1"/>
    </xf>
    <xf numFmtId="0" fontId="17" fillId="5" borderId="8" xfId="0" applyFont="1" applyFill="1" applyBorder="1" applyAlignment="1" applyProtection="1">
      <alignment horizontal="center"/>
      <protection hidden="1"/>
    </xf>
    <xf numFmtId="0" fontId="21" fillId="6" borderId="0" xfId="0" applyFont="1" applyFill="1" applyAlignment="1" applyProtection="1">
      <alignment horizontal="left"/>
      <protection hidden="1"/>
    </xf>
    <xf numFmtId="2" fontId="17" fillId="0" borderId="9" xfId="0" applyNumberFormat="1" applyFont="1" applyBorder="1" applyAlignment="1" applyProtection="1">
      <alignment horizontal="right"/>
      <protection hidden="1"/>
    </xf>
    <xf numFmtId="1" fontId="17" fillId="0" borderId="0" xfId="0" applyNumberFormat="1" applyFont="1" applyAlignment="1" applyProtection="1">
      <alignment horizontal="right"/>
      <protection hidden="1"/>
    </xf>
    <xf numFmtId="1" fontId="17" fillId="0" borderId="11" xfId="0" applyNumberFormat="1" applyFont="1" applyBorder="1" applyAlignment="1" applyProtection="1">
      <alignment horizontal="right"/>
      <protection hidden="1"/>
    </xf>
    <xf numFmtId="2" fontId="17" fillId="0" borderId="0" xfId="0" applyNumberFormat="1" applyFont="1" applyAlignment="1" applyProtection="1">
      <alignment horizontal="right"/>
      <protection hidden="1"/>
    </xf>
    <xf numFmtId="2" fontId="17" fillId="0" borderId="1" xfId="0" applyNumberFormat="1" applyFont="1" applyBorder="1" applyAlignment="1" applyProtection="1">
      <alignment horizontal="right"/>
      <protection hidden="1"/>
    </xf>
    <xf numFmtId="1" fontId="17" fillId="0" borderId="2" xfId="0" applyNumberFormat="1" applyFont="1" applyBorder="1" applyAlignment="1" applyProtection="1">
      <alignment horizontal="right"/>
      <protection hidden="1"/>
    </xf>
    <xf numFmtId="1" fontId="17" fillId="6" borderId="2" xfId="0" applyNumberFormat="1" applyFont="1" applyFill="1" applyBorder="1" applyAlignment="1" applyProtection="1">
      <alignment horizontal="left"/>
      <protection hidden="1"/>
    </xf>
    <xf numFmtId="0" fontId="21" fillId="6" borderId="0" xfId="0" applyFont="1" applyFill="1" applyAlignment="1" applyProtection="1">
      <alignment horizontal="center"/>
      <protection hidden="1"/>
    </xf>
    <xf numFmtId="2" fontId="17" fillId="0" borderId="2" xfId="0" applyNumberFormat="1" applyFont="1" applyBorder="1" applyAlignment="1" applyProtection="1">
      <alignment horizontal="right"/>
      <protection hidden="1"/>
    </xf>
    <xf numFmtId="2" fontId="17" fillId="0" borderId="6" xfId="0" applyNumberFormat="1" applyFont="1" applyBorder="1" applyAlignment="1" applyProtection="1">
      <alignment horizontal="right"/>
      <protection hidden="1"/>
    </xf>
    <xf numFmtId="1" fontId="17" fillId="0" borderId="8" xfId="0" applyNumberFormat="1" applyFont="1" applyBorder="1" applyAlignment="1" applyProtection="1">
      <alignment horizontal="right"/>
      <protection hidden="1"/>
    </xf>
    <xf numFmtId="2" fontId="17" fillId="0" borderId="8" xfId="0" applyNumberFormat="1" applyFont="1" applyBorder="1" applyAlignment="1" applyProtection="1">
      <alignment horizontal="right"/>
      <protection hidden="1"/>
    </xf>
    <xf numFmtId="0" fontId="21" fillId="6" borderId="13" xfId="0" applyFont="1" applyFill="1" applyBorder="1" applyProtection="1">
      <protection hidden="1"/>
    </xf>
    <xf numFmtId="0" fontId="21" fillId="6" borderId="0" xfId="0" applyFont="1" applyFill="1" applyProtection="1">
      <protection hidden="1"/>
    </xf>
    <xf numFmtId="0" fontId="17" fillId="6" borderId="2" xfId="0" applyFont="1" applyFill="1" applyBorder="1" applyAlignment="1" applyProtection="1">
      <alignment horizontal="center"/>
      <protection hidden="1"/>
    </xf>
    <xf numFmtId="0" fontId="21" fillId="6" borderId="14" xfId="0" applyFont="1" applyFill="1" applyBorder="1" applyProtection="1">
      <protection hidden="1"/>
    </xf>
    <xf numFmtId="0" fontId="21" fillId="6" borderId="7" xfId="0" applyFont="1" applyFill="1" applyBorder="1" applyProtection="1">
      <protection hidden="1"/>
    </xf>
    <xf numFmtId="0" fontId="17" fillId="6" borderId="8" xfId="0" applyFont="1" applyFill="1" applyBorder="1" applyAlignment="1" applyProtection="1">
      <alignment horizontal="center"/>
      <protection hidden="1"/>
    </xf>
    <xf numFmtId="0" fontId="21" fillId="7" borderId="0" xfId="0" applyFont="1" applyFill="1" applyAlignment="1" applyProtection="1">
      <alignment horizontal="left"/>
      <protection hidden="1"/>
    </xf>
    <xf numFmtId="1" fontId="17" fillId="7" borderId="2" xfId="0" applyNumberFormat="1" applyFont="1" applyFill="1" applyBorder="1" applyAlignment="1" applyProtection="1">
      <alignment horizontal="left"/>
      <protection hidden="1"/>
    </xf>
    <xf numFmtId="0" fontId="21" fillId="7" borderId="0" xfId="0" applyFont="1" applyFill="1" applyAlignment="1" applyProtection="1">
      <alignment horizontal="center"/>
      <protection hidden="1"/>
    </xf>
    <xf numFmtId="0" fontId="21" fillId="7" borderId="13" xfId="0" applyFont="1" applyFill="1" applyBorder="1" applyProtection="1">
      <protection hidden="1"/>
    </xf>
    <xf numFmtId="0" fontId="21" fillId="7" borderId="0" xfId="0" applyFont="1" applyFill="1" applyProtection="1">
      <protection hidden="1"/>
    </xf>
    <xf numFmtId="0" fontId="17" fillId="7" borderId="2" xfId="0" applyFont="1" applyFill="1" applyBorder="1" applyAlignment="1" applyProtection="1">
      <alignment horizontal="center"/>
      <protection hidden="1"/>
    </xf>
    <xf numFmtId="0" fontId="21" fillId="7" borderId="14" xfId="0" applyFont="1" applyFill="1" applyBorder="1" applyProtection="1">
      <protection hidden="1"/>
    </xf>
    <xf numFmtId="0" fontId="21" fillId="7" borderId="7" xfId="0" applyFont="1" applyFill="1" applyBorder="1" applyProtection="1">
      <protection hidden="1"/>
    </xf>
    <xf numFmtId="0" fontId="17" fillId="7" borderId="8" xfId="0" applyFont="1" applyFill="1" applyBorder="1" applyAlignment="1" applyProtection="1">
      <alignment horizontal="center"/>
      <protection hidden="1"/>
    </xf>
    <xf numFmtId="0" fontId="17" fillId="3" borderId="0" xfId="0" applyFont="1" applyFill="1" applyProtection="1">
      <protection hidden="1"/>
    </xf>
    <xf numFmtId="164" fontId="17" fillId="3" borderId="0" xfId="0" applyNumberFormat="1" applyFont="1" applyFill="1" applyAlignment="1" applyProtection="1">
      <alignment horizontal="center"/>
      <protection hidden="1"/>
    </xf>
    <xf numFmtId="1" fontId="21" fillId="0" borderId="8" xfId="0" applyNumberFormat="1" applyFont="1" applyBorder="1" applyProtection="1">
      <protection hidden="1"/>
    </xf>
    <xf numFmtId="2" fontId="17" fillId="0" borderId="9" xfId="0" applyNumberFormat="1" applyFont="1" applyBorder="1" applyProtection="1">
      <protection hidden="1"/>
    </xf>
    <xf numFmtId="1" fontId="17" fillId="0" borderId="0" xfId="0" applyNumberFormat="1" applyFont="1" applyProtection="1">
      <protection hidden="1"/>
    </xf>
    <xf numFmtId="1" fontId="17" fillId="0" borderId="11" xfId="0" applyNumberFormat="1" applyFont="1" applyBorder="1" applyProtection="1">
      <protection hidden="1"/>
    </xf>
    <xf numFmtId="2" fontId="17" fillId="0" borderId="0" xfId="0" applyNumberFormat="1" applyFont="1" applyProtection="1">
      <protection hidden="1"/>
    </xf>
    <xf numFmtId="2" fontId="17" fillId="0" borderId="1" xfId="0" applyNumberFormat="1" applyFont="1" applyBorder="1" applyProtection="1">
      <protection hidden="1"/>
    </xf>
    <xf numFmtId="1" fontId="17" fillId="0" borderId="2" xfId="0" applyNumberFormat="1" applyFont="1" applyBorder="1" applyProtection="1">
      <protection hidden="1"/>
    </xf>
    <xf numFmtId="2" fontId="17" fillId="0" borderId="2" xfId="0" applyNumberFormat="1" applyFont="1" applyBorder="1" applyProtection="1">
      <protection hidden="1"/>
    </xf>
    <xf numFmtId="2" fontId="17" fillId="0" borderId="6" xfId="0" applyNumberFormat="1" applyFont="1" applyBorder="1" applyProtection="1">
      <protection hidden="1"/>
    </xf>
    <xf numFmtId="2" fontId="17" fillId="0" borderId="8" xfId="0" applyNumberFormat="1" applyFont="1" applyBorder="1" applyProtection="1">
      <protection hidden="1"/>
    </xf>
    <xf numFmtId="1" fontId="17" fillId="0" borderId="8" xfId="0" applyNumberFormat="1" applyFont="1" applyBorder="1" applyProtection="1">
      <protection hidden="1"/>
    </xf>
    <xf numFmtId="0" fontId="21" fillId="3" borderId="6" xfId="0" applyFont="1" applyFill="1" applyBorder="1" applyProtection="1">
      <protection hidden="1"/>
    </xf>
    <xf numFmtId="0" fontId="21" fillId="3" borderId="7" xfId="0" applyFont="1" applyFill="1" applyBorder="1" applyProtection="1">
      <protection hidden="1"/>
    </xf>
    <xf numFmtId="2" fontId="21" fillId="0" borderId="9" xfId="0" applyNumberFormat="1" applyFont="1" applyBorder="1" applyAlignment="1" applyProtection="1">
      <alignment horizontal="right"/>
      <protection hidden="1"/>
    </xf>
    <xf numFmtId="1" fontId="21" fillId="0" borderId="11" xfId="0" applyNumberFormat="1" applyFont="1" applyBorder="1" applyAlignment="1" applyProtection="1">
      <alignment horizontal="right"/>
      <protection hidden="1"/>
    </xf>
    <xf numFmtId="1" fontId="21" fillId="0" borderId="8" xfId="0" applyNumberFormat="1" applyFont="1" applyBorder="1" applyAlignment="1" applyProtection="1">
      <alignment horizontal="right"/>
      <protection hidden="1"/>
    </xf>
    <xf numFmtId="2" fontId="17" fillId="0" borderId="10" xfId="0" applyNumberFormat="1" applyFont="1" applyBorder="1" applyAlignment="1" applyProtection="1">
      <alignment horizontal="right"/>
      <protection hidden="1"/>
    </xf>
    <xf numFmtId="0" fontId="17" fillId="3" borderId="1" xfId="0" applyFont="1" applyFill="1" applyBorder="1" applyProtection="1">
      <protection hidden="1"/>
    </xf>
    <xf numFmtId="2" fontId="21" fillId="0" borderId="11" xfId="0" applyNumberFormat="1" applyFont="1" applyBorder="1" applyAlignment="1" applyProtection="1">
      <alignment horizontal="right"/>
      <protection hidden="1"/>
    </xf>
    <xf numFmtId="2" fontId="21" fillId="0" borderId="10" xfId="0" applyNumberFormat="1" applyFont="1" applyBorder="1" applyAlignment="1" applyProtection="1">
      <alignment horizontal="right"/>
      <protection hidden="1"/>
    </xf>
    <xf numFmtId="2" fontId="21" fillId="0" borderId="11" xfId="0" applyNumberFormat="1" applyFont="1" applyBorder="1" applyProtection="1">
      <protection hidden="1"/>
    </xf>
    <xf numFmtId="2" fontId="21" fillId="0" borderId="7" xfId="0" applyNumberFormat="1" applyFont="1" applyBorder="1" applyProtection="1">
      <protection hidden="1"/>
    </xf>
    <xf numFmtId="2" fontId="17" fillId="0" borderId="11" xfId="0" applyNumberFormat="1" applyFont="1" applyBorder="1" applyAlignment="1" applyProtection="1">
      <alignment horizontal="right"/>
      <protection hidden="1"/>
    </xf>
    <xf numFmtId="0" fontId="7" fillId="3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6" fillId="3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1" fontId="17" fillId="4" borderId="0" xfId="0" quotePrefix="1" applyNumberFormat="1" applyFont="1" applyFill="1" applyAlignment="1" applyProtection="1">
      <alignment horizontal="right"/>
      <protection hidden="1"/>
    </xf>
    <xf numFmtId="1" fontId="17" fillId="5" borderId="11" xfId="0" quotePrefix="1" applyNumberFormat="1" applyFont="1" applyFill="1" applyBorder="1" applyAlignment="1" applyProtection="1">
      <alignment horizontal="right"/>
      <protection hidden="1"/>
    </xf>
    <xf numFmtId="1" fontId="17" fillId="5" borderId="2" xfId="0" quotePrefix="1" applyNumberFormat="1" applyFont="1" applyFill="1" applyBorder="1" applyAlignment="1" applyProtection="1">
      <alignment horizontal="right"/>
      <protection hidden="1"/>
    </xf>
    <xf numFmtId="0" fontId="17" fillId="6" borderId="0" xfId="0" quotePrefix="1" applyFont="1" applyFill="1" applyAlignment="1" applyProtection="1">
      <alignment horizontal="right"/>
      <protection hidden="1"/>
    </xf>
    <xf numFmtId="1" fontId="17" fillId="6" borderId="2" xfId="0" quotePrefix="1" applyNumberFormat="1" applyFont="1" applyFill="1" applyBorder="1" applyAlignment="1" applyProtection="1">
      <alignment horizontal="right"/>
      <protection hidden="1"/>
    </xf>
    <xf numFmtId="1" fontId="17" fillId="6" borderId="2" xfId="0" applyNumberFormat="1" applyFont="1" applyFill="1" applyBorder="1" applyAlignment="1" applyProtection="1">
      <alignment horizontal="right"/>
      <protection hidden="1"/>
    </xf>
    <xf numFmtId="0" fontId="17" fillId="7" borderId="0" xfId="0" quotePrefix="1" applyFont="1" applyFill="1" applyAlignment="1" applyProtection="1">
      <alignment horizontal="right"/>
      <protection hidden="1"/>
    </xf>
    <xf numFmtId="1" fontId="17" fillId="7" borderId="2" xfId="0" quotePrefix="1" applyNumberFormat="1" applyFont="1" applyFill="1" applyBorder="1" applyAlignment="1" applyProtection="1">
      <alignment horizontal="right"/>
      <protection hidden="1"/>
    </xf>
    <xf numFmtId="1" fontId="17" fillId="7" borderId="2" xfId="0" applyNumberFormat="1" applyFont="1" applyFill="1" applyBorder="1" applyAlignment="1" applyProtection="1">
      <alignment horizontal="right"/>
      <protection hidden="1"/>
    </xf>
    <xf numFmtId="1" fontId="17" fillId="5" borderId="2" xfId="0" applyNumberFormat="1" applyFont="1" applyFill="1" applyBorder="1" applyAlignment="1" applyProtection="1">
      <alignment horizontal="right"/>
      <protection hidden="1"/>
    </xf>
    <xf numFmtId="1" fontId="17" fillId="4" borderId="0" xfId="0" applyNumberFormat="1" applyFont="1" applyFill="1" applyAlignment="1" applyProtection="1">
      <alignment horizontal="right"/>
      <protection hidden="1"/>
    </xf>
    <xf numFmtId="0" fontId="17" fillId="4" borderId="6" xfId="0" applyFont="1" applyFill="1" applyBorder="1" applyAlignment="1" applyProtection="1">
      <alignment horizontal="center" wrapText="1"/>
      <protection hidden="1"/>
    </xf>
    <xf numFmtId="0" fontId="21" fillId="4" borderId="7" xfId="0" applyFont="1" applyFill="1" applyBorder="1" applyAlignment="1" applyProtection="1">
      <alignment horizontal="center"/>
      <protection hidden="1"/>
    </xf>
    <xf numFmtId="1" fontId="17" fillId="4" borderId="8" xfId="0" applyNumberFormat="1" applyFont="1" applyFill="1" applyBorder="1" applyAlignment="1" applyProtection="1">
      <alignment horizontal="left"/>
      <protection hidden="1"/>
    </xf>
    <xf numFmtId="0" fontId="17" fillId="5" borderId="6" xfId="0" applyFont="1" applyFill="1" applyBorder="1" applyAlignment="1" applyProtection="1">
      <alignment horizontal="center" wrapText="1"/>
      <protection hidden="1"/>
    </xf>
    <xf numFmtId="0" fontId="21" fillId="5" borderId="7" xfId="0" applyFont="1" applyFill="1" applyBorder="1" applyAlignment="1" applyProtection="1">
      <alignment horizontal="center"/>
      <protection hidden="1"/>
    </xf>
    <xf numFmtId="1" fontId="17" fillId="5" borderId="8" xfId="0" applyNumberFormat="1" applyFont="1" applyFill="1" applyBorder="1" applyAlignment="1" applyProtection="1">
      <alignment horizontal="left"/>
      <protection hidden="1"/>
    </xf>
    <xf numFmtId="0" fontId="17" fillId="6" borderId="6" xfId="0" applyFont="1" applyFill="1" applyBorder="1" applyAlignment="1" applyProtection="1">
      <alignment horizontal="center" wrapText="1"/>
      <protection hidden="1"/>
    </xf>
    <xf numFmtId="0" fontId="21" fillId="6" borderId="7" xfId="0" applyFont="1" applyFill="1" applyBorder="1" applyAlignment="1" applyProtection="1">
      <alignment horizontal="center"/>
      <protection hidden="1"/>
    </xf>
    <xf numFmtId="1" fontId="17" fillId="6" borderId="8" xfId="0" applyNumberFormat="1" applyFont="1" applyFill="1" applyBorder="1" applyAlignment="1" applyProtection="1">
      <alignment horizontal="left"/>
      <protection hidden="1"/>
    </xf>
    <xf numFmtId="0" fontId="17" fillId="7" borderId="6" xfId="0" applyFont="1" applyFill="1" applyBorder="1" applyAlignment="1" applyProtection="1">
      <alignment horizontal="center" wrapText="1"/>
      <protection hidden="1"/>
    </xf>
    <xf numFmtId="0" fontId="21" fillId="7" borderId="7" xfId="0" applyFont="1" applyFill="1" applyBorder="1" applyAlignment="1" applyProtection="1">
      <alignment horizontal="center"/>
      <protection hidden="1"/>
    </xf>
    <xf numFmtId="1" fontId="17" fillId="7" borderId="8" xfId="0" applyNumberFormat="1" applyFont="1" applyFill="1" applyBorder="1" applyAlignment="1" applyProtection="1">
      <alignment horizontal="left"/>
      <protection hidden="1"/>
    </xf>
    <xf numFmtId="0" fontId="6" fillId="3" borderId="0" xfId="0" applyFont="1" applyFill="1" applyAlignment="1" applyProtection="1">
      <alignment vertical="top"/>
      <protection hidden="1"/>
    </xf>
    <xf numFmtId="2" fontId="21" fillId="0" borderId="1" xfId="0" applyNumberFormat="1" applyFont="1" applyBorder="1"/>
    <xf numFmtId="0" fontId="14" fillId="4" borderId="13" xfId="0" applyFont="1" applyFill="1" applyBorder="1" applyAlignment="1" applyProtection="1">
      <alignment horizontal="center" wrapText="1"/>
      <protection hidden="1"/>
    </xf>
    <xf numFmtId="0" fontId="14" fillId="5" borderId="13" xfId="0" applyFont="1" applyFill="1" applyBorder="1" applyAlignment="1" applyProtection="1">
      <alignment horizontal="center" wrapText="1"/>
      <protection hidden="1"/>
    </xf>
    <xf numFmtId="0" fontId="19" fillId="6" borderId="2" xfId="0" applyFont="1" applyFill="1" applyBorder="1" applyAlignment="1" applyProtection="1">
      <alignment horizontal="center"/>
      <protection hidden="1"/>
    </xf>
    <xf numFmtId="0" fontId="19" fillId="7" borderId="2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/>
      <protection locked="0" hidden="1"/>
    </xf>
    <xf numFmtId="0" fontId="9" fillId="3" borderId="7" xfId="0" applyFont="1" applyFill="1" applyBorder="1" applyAlignment="1" applyProtection="1">
      <alignment horizontal="center"/>
      <protection locked="0" hidden="1"/>
    </xf>
  </cellXfs>
  <cellStyles count="2">
    <cellStyle name="Normal" xfId="0" builtinId="0"/>
    <cellStyle name="Normal 8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D"/>
      <color rgb="FFFFFFE5"/>
      <color rgb="FFBC0000"/>
      <color rgb="FFFFFFC1"/>
      <color rgb="FF0000CC"/>
      <color rgb="FF000099"/>
      <color rgb="FF0000FF"/>
      <color rgb="FFCC99FF"/>
      <color rgb="FFCC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6363031388145"/>
        </c:manualLayout>
      </c:layout>
      <c:lineChart>
        <c:grouping val="standard"/>
        <c:varyColors val="0"/>
        <c:ser>
          <c:idx val="0"/>
          <c:order val="0"/>
          <c:tx>
            <c:strRef>
              <c:f>'Center Zone'!$A$25:$A$26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Zone'!$E$35,'Center Zone'!$G$35,'Center Zone'!$I$35,'Center Zone'!$K$35,'Center Zone'!$M$35,'Center Zone'!$O$35)</c:f>
                <c:numCache>
                  <c:formatCode>General</c:formatCode>
                  <c:ptCount val="6"/>
                  <c:pt idx="0">
                    <c:v>0.87738798574115195</c:v>
                  </c:pt>
                  <c:pt idx="1">
                    <c:v>3.8113315868735427</c:v>
                  </c:pt>
                  <c:pt idx="2">
                    <c:v>2.6207260683328926</c:v>
                  </c:pt>
                  <c:pt idx="3">
                    <c:v>1.428145922845276</c:v>
                  </c:pt>
                  <c:pt idx="4">
                    <c:v>1.8140290765511222</c:v>
                  </c:pt>
                  <c:pt idx="5">
                    <c:v>0.93799140837762984</c:v>
                  </c:pt>
                </c:numCache>
              </c:numRef>
            </c:plus>
            <c:minus>
              <c:numRef>
                <c:f>('Center Zone'!$E$35,'Center Zone'!$G$35,'Center Zone'!$I$35,'Center Zone'!$K$35,'Center Zone'!$M$35,'Center Zone'!$O$35)</c:f>
                <c:numCache>
                  <c:formatCode>General</c:formatCode>
                  <c:ptCount val="6"/>
                  <c:pt idx="0">
                    <c:v>0.87738798574115195</c:v>
                  </c:pt>
                  <c:pt idx="1">
                    <c:v>3.8113315868735427</c:v>
                  </c:pt>
                  <c:pt idx="2">
                    <c:v>2.6207260683328926</c:v>
                  </c:pt>
                  <c:pt idx="3">
                    <c:v>1.428145922845276</c:v>
                  </c:pt>
                  <c:pt idx="4">
                    <c:v>1.8140290765511222</c:v>
                  </c:pt>
                  <c:pt idx="5">
                    <c:v>0.93799140837762984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Zone'!$E$34,'Center Zone'!$G$34,'Center Zone'!$I$34,'Center Zone'!$K$34,'Center Zone'!$M$34,'Center Zone'!$O$34)</c:f>
              <c:numCache>
                <c:formatCode>0.00</c:formatCode>
                <c:ptCount val="6"/>
                <c:pt idx="0">
                  <c:v>3.6694075000000002</c:v>
                </c:pt>
                <c:pt idx="1">
                  <c:v>4.6171300000000004</c:v>
                </c:pt>
                <c:pt idx="2">
                  <c:v>6.2494325000000002</c:v>
                </c:pt>
                <c:pt idx="3">
                  <c:v>5.5943874999999998</c:v>
                </c:pt>
                <c:pt idx="4">
                  <c:v>3.2305225000000002</c:v>
                </c:pt>
                <c:pt idx="5">
                  <c:v>1.8944255000000001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0-4B51-8389-0F2D96182DCA}"/>
            </c:ext>
          </c:extLst>
        </c:ser>
        <c:ser>
          <c:idx val="1"/>
          <c:order val="1"/>
          <c:tx>
            <c:strRef>
              <c:f>'Center Zone'!$A$37:$A$38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Zone'!$E$47,'Center Zone'!$G$47,'Center Zone'!$I$47,'Center Zone'!$K$47,'Center Zone'!$M$47,'Center Zone'!$O$47)</c:f>
                <c:numCache>
                  <c:formatCode>General</c:formatCode>
                  <c:ptCount val="6"/>
                  <c:pt idx="0">
                    <c:v>1.3527713716447676</c:v>
                  </c:pt>
                  <c:pt idx="1">
                    <c:v>1.9218570086002484</c:v>
                  </c:pt>
                  <c:pt idx="2">
                    <c:v>3.1263835285661257</c:v>
                  </c:pt>
                  <c:pt idx="3">
                    <c:v>2.555645395059742</c:v>
                  </c:pt>
                  <c:pt idx="4">
                    <c:v>3.3428452920142244</c:v>
                  </c:pt>
                  <c:pt idx="5">
                    <c:v>2.5313081036223273</c:v>
                  </c:pt>
                </c:numCache>
              </c:numRef>
            </c:plus>
            <c:minus>
              <c:numRef>
                <c:f>('Center Zone'!$E$47,'Center Zone'!$G$47,'Center Zone'!$I$47,'Center Zone'!$K$47,'Center Zone'!$M$47,'Center Zone'!$O$47)</c:f>
                <c:numCache>
                  <c:formatCode>General</c:formatCode>
                  <c:ptCount val="6"/>
                  <c:pt idx="0">
                    <c:v>1.3527713716447676</c:v>
                  </c:pt>
                  <c:pt idx="1">
                    <c:v>1.9218570086002484</c:v>
                  </c:pt>
                  <c:pt idx="2">
                    <c:v>3.1263835285661257</c:v>
                  </c:pt>
                  <c:pt idx="3">
                    <c:v>2.555645395059742</c:v>
                  </c:pt>
                  <c:pt idx="4">
                    <c:v>3.3428452920142244</c:v>
                  </c:pt>
                  <c:pt idx="5">
                    <c:v>2.5313081036223273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Zone'!$E$46,'Center Zone'!$G$46,'Center Zone'!$I$46,'Center Zone'!$K$46,'Center Zone'!$M$46,'Center Zone'!$O$46)</c:f>
              <c:numCache>
                <c:formatCode>0.00</c:formatCode>
                <c:ptCount val="6"/>
                <c:pt idx="0">
                  <c:v>2.8583050000000001</c:v>
                </c:pt>
                <c:pt idx="1">
                  <c:v>4.7087847500000004</c:v>
                </c:pt>
                <c:pt idx="2">
                  <c:v>5.9994475000000005</c:v>
                </c:pt>
                <c:pt idx="3">
                  <c:v>4.6676202499999997</c:v>
                </c:pt>
                <c:pt idx="4">
                  <c:v>5.6418650000000001</c:v>
                </c:pt>
                <c:pt idx="5">
                  <c:v>3.7709462500000002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0-4B51-8389-0F2D9618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'Center Zone'!$A$49:$A$50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>
                          <a:alpha val="98000"/>
                        </a:schemeClr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('Center Zone'!$E$59,'Center Zone'!$G$59,'Center Zone'!$I$59,'Center Zone'!$K$59,'Center Zone'!$M$59,'Center Zone'!$O$59)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('Center Zone'!$E$59,'Center Zone'!$G$59,'Center Zone'!$I$59,'Center Zone'!$K$59,'Center Zone'!$M$59,'Center Zone'!$O$59)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('Center Zone'!$E$58,'Center Zone'!$G$58,'Center Zone'!$I$58,'Center Zone'!$K$58,'Center Zone'!$M$58,'Center Zone'!$O$58)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45-4D59-BBC1-C3A882678DC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'Center Zone'!$A$61:$A$62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Zone'!$E$71,'Center Zone'!$G$71,'Center Zone'!$I$71,'Center Zone'!$K$71,'Center Zone'!$M$71,'Center Zone'!$O$71)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Zone'!$E$71,'Center Zone'!$G$71,'Center Zone'!$I$71,'Center Zone'!$K$71,'Center Zone'!$M$71,'Center Zone'!$O$71)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('Center Zone'!$E$70,'Center Zone'!$G$70,'Center Zone'!$I$70,'Center Zone'!$K$70,'Center Zone'!$M$70,'Center Zone'!$O$70)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3C5-4E93-BAF5-D0857D7188EB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2758452378177694"/>
              <c:y val="0.89689857873972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2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295772012191436"/>
          <c:y val="0.14419881799312342"/>
          <c:w val="0.79275235868734328"/>
          <c:h val="0.11704498280861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80531502253550913"/>
          <c:h val="0.48161449005904539"/>
        </c:manualLayout>
      </c:layout>
      <c:lineChart>
        <c:grouping val="standard"/>
        <c:varyColors val="0"/>
        <c:ser>
          <c:idx val="0"/>
          <c:order val="0"/>
          <c:tx>
            <c:strRef>
              <c:f>'Center Zone'!$A$25:$A$26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Zone'!$F$35,'Center Zone'!$H$35,'Center Zone'!$J$35,'Center Zone'!$L$35,'Center Zone'!$N$35,'Center Zone'!$P$35)</c:f>
                <c:numCache>
                  <c:formatCode>General</c:formatCode>
                  <c:ptCount val="6"/>
                  <c:pt idx="0">
                    <c:v>1.0801234497346435</c:v>
                  </c:pt>
                  <c:pt idx="1">
                    <c:v>2.6259918760981216</c:v>
                  </c:pt>
                  <c:pt idx="2">
                    <c:v>2.7195281453467866</c:v>
                  </c:pt>
                  <c:pt idx="3">
                    <c:v>1.4361406616345072</c:v>
                  </c:pt>
                  <c:pt idx="4">
                    <c:v>2.6887109674836132</c:v>
                  </c:pt>
                  <c:pt idx="5">
                    <c:v>1.1086778913041726</c:v>
                  </c:pt>
                </c:numCache>
              </c:numRef>
            </c:plus>
            <c:minus>
              <c:numRef>
                <c:f>('Center Zone'!$F$35,'Center Zone'!$H$35,'Center Zone'!$J$35,'Center Zone'!$L$35,'Center Zone'!$N$35,'Center Zone'!$P$35)</c:f>
                <c:numCache>
                  <c:formatCode>General</c:formatCode>
                  <c:ptCount val="6"/>
                  <c:pt idx="0">
                    <c:v>1.0801234497346435</c:v>
                  </c:pt>
                  <c:pt idx="1">
                    <c:v>2.6259918760981216</c:v>
                  </c:pt>
                  <c:pt idx="2">
                    <c:v>2.7195281453467866</c:v>
                  </c:pt>
                  <c:pt idx="3">
                    <c:v>1.4361406616345072</c:v>
                  </c:pt>
                  <c:pt idx="4">
                    <c:v>2.6887109674836132</c:v>
                  </c:pt>
                  <c:pt idx="5">
                    <c:v>1.1086778913041726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Zone'!$F$34,'Center Zone'!$H$34,'Center Zone'!$J$34,'Center Zone'!$L$34,'Center Zone'!$N$34,'Center Zone'!$P$34)</c:f>
              <c:numCache>
                <c:formatCode>0.00</c:formatCode>
                <c:ptCount val="6"/>
                <c:pt idx="0">
                  <c:v>6</c:v>
                </c:pt>
                <c:pt idx="1">
                  <c:v>4.25</c:v>
                </c:pt>
                <c:pt idx="2">
                  <c:v>6.25</c:v>
                </c:pt>
                <c:pt idx="3">
                  <c:v>5.75</c:v>
                </c:pt>
                <c:pt idx="4">
                  <c:v>5.25</c:v>
                </c:pt>
                <c:pt idx="5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9-45A6-B22A-DA724D388B6C}"/>
            </c:ext>
          </c:extLst>
        </c:ser>
        <c:ser>
          <c:idx val="1"/>
          <c:order val="1"/>
          <c:tx>
            <c:strRef>
              <c:f>'Center Zone'!$A$37:$A$38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Zone'!$F$47,'Center Zone'!$H$47,'Center Zone'!$J$47,'Center Zone'!$L$47,'Center Zone'!$N$47,'Center Zone'!$P$47)</c:f>
                <c:numCache>
                  <c:formatCode>General</c:formatCode>
                  <c:ptCount val="6"/>
                  <c:pt idx="0">
                    <c:v>2.8975564417856186</c:v>
                  </c:pt>
                  <c:pt idx="1">
                    <c:v>3.6142080737002402</c:v>
                  </c:pt>
                  <c:pt idx="2">
                    <c:v>4.5276925690687087</c:v>
                  </c:pt>
                  <c:pt idx="3">
                    <c:v>3.488074922742725</c:v>
                  </c:pt>
                  <c:pt idx="4">
                    <c:v>2.7233557730613653</c:v>
                  </c:pt>
                  <c:pt idx="5">
                    <c:v>3.2274861218395139</c:v>
                  </c:pt>
                </c:numCache>
              </c:numRef>
            </c:plus>
            <c:minus>
              <c:numRef>
                <c:f>('Center Zone'!$F$47,'Center Zone'!$H$47,'Center Zone'!$J$47,'Center Zone'!$L$47,'Center Zone'!$N$47,'Center Zone'!$P$47)</c:f>
                <c:numCache>
                  <c:formatCode>General</c:formatCode>
                  <c:ptCount val="6"/>
                  <c:pt idx="0">
                    <c:v>2.8975564417856186</c:v>
                  </c:pt>
                  <c:pt idx="1">
                    <c:v>3.6142080737002402</c:v>
                  </c:pt>
                  <c:pt idx="2">
                    <c:v>4.5276925690687087</c:v>
                  </c:pt>
                  <c:pt idx="3">
                    <c:v>3.488074922742725</c:v>
                  </c:pt>
                  <c:pt idx="4">
                    <c:v>2.7233557730613653</c:v>
                  </c:pt>
                  <c:pt idx="5">
                    <c:v>3.2274861218395139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Zone'!$F$46,'Center Zone'!$H$46,'Center Zone'!$J$46,'Center Zone'!$L$46,'Center Zone'!$N$46,'Center Zone'!$P$46)</c:f>
              <c:numCache>
                <c:formatCode>0.00</c:formatCode>
                <c:ptCount val="6"/>
                <c:pt idx="0">
                  <c:v>6.25</c:v>
                </c:pt>
                <c:pt idx="1">
                  <c:v>7.75</c:v>
                </c:pt>
                <c:pt idx="2">
                  <c:v>8</c:v>
                </c:pt>
                <c:pt idx="3">
                  <c:v>6</c:v>
                </c:pt>
                <c:pt idx="4">
                  <c:v>6.5</c:v>
                </c:pt>
                <c:pt idx="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9-45A6-B22A-DA724D38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'Center Zone'!$A$49:$A$50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('Center Zone'!$F$59,'Center Zone'!$H$59,'Center Zone'!$J$59,'Center Zone'!$L$59,'Center Zone'!$N$59,'Center Zone'!$P$59)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('Center Zone'!$F$59,'Center Zone'!$H$59,'Center Zone'!$J$59,'Center Zone'!$L$59,'Center Zone'!$N$59,'Center Zone'!$P$59)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('Center Zone'!$F$58,'Center Zone'!$H$58,'Center Zone'!$J$58,'Center Zone'!$L$58,'Center Zone'!$N$58,'Center Zone'!$P$58)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02-4E07-8719-4B5ED91C34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'Center Zone'!$A$61:$A$62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Zone'!$F$71,'Center Zone'!$H$71,'Center Zone'!$J$71,'Center Zone'!$L$71,'Center Zone'!$N$71,'Center Zone'!$P$71)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Zone'!$F$71,'Center Zone'!$H$71,'Center Zone'!$J$71,'Center Zone'!$L$71,'Center Zone'!$N$71,'Center Zone'!$P$71)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('Center Zone'!$F$70,'Center Zone'!$H$70,'Center Zone'!$J$70,'Center Zone'!$L$70,'Center Zone'!$N$70,'Center Zone'!$P$70)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17-4194-816F-AD92CBFD8D0A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2758452378177694"/>
              <c:y val="0.89687858584886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011733732733558"/>
          <c:y val="0.14408011151081107"/>
          <c:w val="0.78417255008463271"/>
          <c:h val="0.10890626701892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35085888039214"/>
        </c:manualLayout>
      </c:layout>
      <c:lineChart>
        <c:grouping val="standard"/>
        <c:varyColors val="0"/>
        <c:ser>
          <c:idx val="0"/>
          <c:order val="0"/>
          <c:tx>
            <c:strRef>
              <c:f>'Intermediate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Zone'!$E$19,'Intermediate Zone'!$G$19,'Intermediate Zone'!$I$19,'Intermediate Zone'!$K$19,'Intermediate Zone'!$M$19,'Intermediate Zone'!$O$19)</c:f>
                <c:numCache>
                  <c:formatCode>General</c:formatCode>
                  <c:ptCount val="6"/>
                  <c:pt idx="0">
                    <c:v>3.4362228375145061</c:v>
                  </c:pt>
                  <c:pt idx="1">
                    <c:v>9.094622600687817</c:v>
                  </c:pt>
                  <c:pt idx="2">
                    <c:v>7.9159287625841017</c:v>
                  </c:pt>
                  <c:pt idx="3">
                    <c:v>2.8361817054753242</c:v>
                  </c:pt>
                  <c:pt idx="4">
                    <c:v>5.0901037616280069</c:v>
                  </c:pt>
                  <c:pt idx="5">
                    <c:v>3.0329790990333096</c:v>
                  </c:pt>
                </c:numCache>
              </c:numRef>
            </c:plus>
            <c:minus>
              <c:numRef>
                <c:f>('Intermediate Zone'!$E$19,'Intermediate Zone'!$G$19,'Intermediate Zone'!$I$19,'Intermediate Zone'!$K$19,'Intermediate Zone'!$M$19,'Intermediate Zone'!$O$19)</c:f>
                <c:numCache>
                  <c:formatCode>General</c:formatCode>
                  <c:ptCount val="6"/>
                  <c:pt idx="0">
                    <c:v>3.4362228375145061</c:v>
                  </c:pt>
                  <c:pt idx="1">
                    <c:v>9.094622600687817</c:v>
                  </c:pt>
                  <c:pt idx="2">
                    <c:v>7.9159287625841017</c:v>
                  </c:pt>
                  <c:pt idx="3">
                    <c:v>2.8361817054753242</c:v>
                  </c:pt>
                  <c:pt idx="4">
                    <c:v>5.0901037616280069</c:v>
                  </c:pt>
                  <c:pt idx="5">
                    <c:v>3.0329790990333096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Zone'!$E$18,'Intermediate Zone'!$G$18,'Intermediate Zone'!$I$18,'Intermediate Zone'!$K$18,'Intermediate Zone'!$M$18,'Intermediate Zone'!$O$18)</c:f>
              <c:numCache>
                <c:formatCode>0.00</c:formatCode>
                <c:ptCount val="6"/>
                <c:pt idx="0">
                  <c:v>9.0193674999999995</c:v>
                </c:pt>
                <c:pt idx="1">
                  <c:v>12.916525</c:v>
                </c:pt>
                <c:pt idx="2">
                  <c:v>18.513717499999998</c:v>
                </c:pt>
                <c:pt idx="3">
                  <c:v>10.3832375</c:v>
                </c:pt>
                <c:pt idx="4">
                  <c:v>15.0776425</c:v>
                </c:pt>
                <c:pt idx="5">
                  <c:v>10.4221225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2-4F97-BF25-BD197F922A72}"/>
            </c:ext>
          </c:extLst>
        </c:ser>
        <c:ser>
          <c:idx val="1"/>
          <c:order val="1"/>
          <c:tx>
            <c:strRef>
              <c:f>'Intermediate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Zone'!$E$31,'Intermediate Zone'!$G$31,'Intermediate Zone'!$I$31,'Intermediate Zone'!$K$31,'Intermediate Zone'!$M$31,'Intermediate Zone'!$O$31)</c:f>
                <c:numCache>
                  <c:formatCode>General</c:formatCode>
                  <c:ptCount val="6"/>
                  <c:pt idx="0">
                    <c:v>3.5393804751019013</c:v>
                  </c:pt>
                  <c:pt idx="1">
                    <c:v>5.7695692710192494</c:v>
                  </c:pt>
                  <c:pt idx="2">
                    <c:v>7.1336949910464043</c:v>
                  </c:pt>
                  <c:pt idx="3">
                    <c:v>4.877390240538193</c:v>
                  </c:pt>
                  <c:pt idx="4">
                    <c:v>5.8766318569986735</c:v>
                  </c:pt>
                  <c:pt idx="5">
                    <c:v>4.9734311291996054</c:v>
                  </c:pt>
                </c:numCache>
              </c:numRef>
            </c:plus>
            <c:minus>
              <c:numRef>
                <c:f>('Intermediate Zone'!$E$31,'Intermediate Zone'!$G$31,'Intermediate Zone'!$I$31,'Intermediate Zone'!$K$31,'Intermediate Zone'!$M$31,'Intermediate Zone'!$O$31)</c:f>
                <c:numCache>
                  <c:formatCode>General</c:formatCode>
                  <c:ptCount val="6"/>
                  <c:pt idx="0">
                    <c:v>3.5393804751019013</c:v>
                  </c:pt>
                  <c:pt idx="1">
                    <c:v>5.7695692710192494</c:v>
                  </c:pt>
                  <c:pt idx="2">
                    <c:v>7.1336949910464043</c:v>
                  </c:pt>
                  <c:pt idx="3">
                    <c:v>4.877390240538193</c:v>
                  </c:pt>
                  <c:pt idx="4">
                    <c:v>5.8766318569986735</c:v>
                  </c:pt>
                  <c:pt idx="5">
                    <c:v>4.9734311291996054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Zone'!$E$30,'Intermediate Zone'!$G$30,'Intermediate Zone'!$I$30,'Intermediate Zone'!$K$30,'Intermediate Zone'!$M$30,'Intermediate Zone'!$O$30)</c:f>
              <c:numCache>
                <c:formatCode>0.00</c:formatCode>
                <c:ptCount val="6"/>
                <c:pt idx="0">
                  <c:v>7.8834952500000002</c:v>
                </c:pt>
                <c:pt idx="1">
                  <c:v>15.9884725</c:v>
                </c:pt>
                <c:pt idx="2">
                  <c:v>13.500613250000001</c:v>
                </c:pt>
                <c:pt idx="3">
                  <c:v>9.9324932500000003</c:v>
                </c:pt>
                <c:pt idx="4">
                  <c:v>13.230445000000001</c:v>
                </c:pt>
                <c:pt idx="5">
                  <c:v>8.3180850000000017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2-4F97-BF25-BD197F922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'Intermediate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('Intermediate Zone'!$E$43,'Intermediate Zone'!$G$43,'Intermediate Zone'!$I$43,'Intermediate Zone'!$K$43,'Intermediate Zone'!$M$43,'Intermediate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('Intermediate Zone'!$O$43,'Intermediate Zone'!$M$43,'Intermediate Zone'!$K$43,'Intermediate Zone'!$I$43,'Intermediate Zone'!$G$43,'Intermediate Zone'!$E$43)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('Intermediate Zone'!$E$42,'Intermediate Zone'!$G$42,'Intermediate Zone'!$I$42,'Intermediate Zone'!$K$42,'Intermediate Zone'!$M$42,'Intermediate Zone'!$O$42)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59-46CC-943B-6CB2CDA4E9E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'Intermediate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Zone'!$E$55,'Intermediate Zone'!$G$55,'Intermediate Zone'!$I$55,'Intermediate Zone'!$K$55,'Intermediate Zone'!$M$55,'Intermediate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Zone'!$E$55,'Intermediate Zone'!$G$55,'Intermediate Zone'!$I$55,'Intermediate Zone'!$K$55,'Intermediate Zone'!$M$55,'Intermediate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('Intermediate Zone'!$E$54,'Intermediate Zone'!$G$54,'Intermediate Zone'!$I$54,'Intermediate Zone'!$K$54,'Intermediate Zone'!$M$54,'Intermediate Zone'!$O$54)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7F-48D6-BAFA-D92A1F53548A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40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4341178354146653"/>
          <c:w val="0.79677419354838708"/>
          <c:h val="0.10460619821846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layout>
        <c:manualLayout>
          <c:xMode val="edge"/>
          <c:yMode val="edge"/>
          <c:x val="0.17129015324697314"/>
          <c:y val="2.4015369836695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35085888039214"/>
        </c:manualLayout>
      </c:layout>
      <c:lineChart>
        <c:grouping val="standard"/>
        <c:varyColors val="0"/>
        <c:ser>
          <c:idx val="0"/>
          <c:order val="0"/>
          <c:tx>
            <c:strRef>
              <c:f>'Intermediate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Zone'!$F$19,'Intermediate Zone'!$H$19,'Intermediate Zone'!$J$19,'Intermediate Zone'!$L$19,'Intermediate Zone'!$N$19,'Intermediate Zone'!$P$19)</c:f>
                <c:numCache>
                  <c:formatCode>General</c:formatCode>
                  <c:ptCount val="6"/>
                  <c:pt idx="0">
                    <c:v>8.2563107176672244</c:v>
                  </c:pt>
                  <c:pt idx="1">
                    <c:v>8.4594621578443157</c:v>
                  </c:pt>
                  <c:pt idx="2">
                    <c:v>6.1169164345008555</c:v>
                  </c:pt>
                  <c:pt idx="3">
                    <c:v>2.5</c:v>
                  </c:pt>
                  <c:pt idx="4">
                    <c:v>6.3031076991168939</c:v>
                  </c:pt>
                  <c:pt idx="5">
                    <c:v>2.5617376914898995</c:v>
                  </c:pt>
                </c:numCache>
              </c:numRef>
            </c:plus>
            <c:minus>
              <c:numRef>
                <c:f>('Intermediate Zone'!$F$19,'Intermediate Zone'!$H$19,'Intermediate Zone'!$J$19,'Intermediate Zone'!$L$19,'Intermediate Zone'!$N$19,'Intermediate Zone'!$P$19)</c:f>
                <c:numCache>
                  <c:formatCode>General</c:formatCode>
                  <c:ptCount val="6"/>
                  <c:pt idx="0">
                    <c:v>8.2563107176672244</c:v>
                  </c:pt>
                  <c:pt idx="1">
                    <c:v>8.4594621578443157</c:v>
                  </c:pt>
                  <c:pt idx="2">
                    <c:v>6.1169164345008555</c:v>
                  </c:pt>
                  <c:pt idx="3">
                    <c:v>2.5</c:v>
                  </c:pt>
                  <c:pt idx="4">
                    <c:v>6.3031076991168939</c:v>
                  </c:pt>
                  <c:pt idx="5">
                    <c:v>2.5617376914898995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Zone'!$F$18,'Intermediate Zone'!$H$18,'Intermediate Zone'!$J$18,'Intermediate Zone'!$L$18,'Intermediate Zone'!$N$18,'Intermediate Zone'!$P$18)</c:f>
              <c:numCache>
                <c:formatCode>0.00</c:formatCode>
                <c:ptCount val="6"/>
                <c:pt idx="0">
                  <c:v>20</c:v>
                </c:pt>
                <c:pt idx="1">
                  <c:v>17.25</c:v>
                </c:pt>
                <c:pt idx="2">
                  <c:v>20.5</c:v>
                </c:pt>
                <c:pt idx="3">
                  <c:v>16.5</c:v>
                </c:pt>
                <c:pt idx="4">
                  <c:v>19.25</c:v>
                </c:pt>
                <c:pt idx="5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C-484E-B4C5-5413E7BA6B5C}"/>
            </c:ext>
          </c:extLst>
        </c:ser>
        <c:ser>
          <c:idx val="1"/>
          <c:order val="1"/>
          <c:tx>
            <c:strRef>
              <c:f>'Intermediate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Zone'!$F$31,'Intermediate Zone'!$H$31,'Intermediate Zone'!$J$31,'Intermediate Zone'!$L$31,'Intermediate Zone'!$N$31,'Intermediate Zone'!$P$31)</c:f>
                <c:numCache>
                  <c:formatCode>General</c:formatCode>
                  <c:ptCount val="6"/>
                  <c:pt idx="0">
                    <c:v>8.4791410728524461</c:v>
                  </c:pt>
                  <c:pt idx="1">
                    <c:v>8.7974901723919725</c:v>
                  </c:pt>
                  <c:pt idx="2">
                    <c:v>8.6830774114557645</c:v>
                  </c:pt>
                  <c:pt idx="3">
                    <c:v>8.6156350123868801</c:v>
                  </c:pt>
                  <c:pt idx="4">
                    <c:v>7.2399355429911569</c:v>
                  </c:pt>
                  <c:pt idx="5">
                    <c:v>8.9010767138962841</c:v>
                  </c:pt>
                </c:numCache>
              </c:numRef>
            </c:plus>
            <c:minus>
              <c:numRef>
                <c:f>('Intermediate Zone'!$F$31,'Intermediate Zone'!$H$31,'Intermediate Zone'!$J$31,'Intermediate Zone'!$L$31,'Intermediate Zone'!$N$31,'Intermediate Zone'!$P$31)</c:f>
                <c:numCache>
                  <c:formatCode>General</c:formatCode>
                  <c:ptCount val="6"/>
                  <c:pt idx="0">
                    <c:v>8.4791410728524461</c:v>
                  </c:pt>
                  <c:pt idx="1">
                    <c:v>8.7974901723919725</c:v>
                  </c:pt>
                  <c:pt idx="2">
                    <c:v>8.6830774114557645</c:v>
                  </c:pt>
                  <c:pt idx="3">
                    <c:v>8.6156350123868801</c:v>
                  </c:pt>
                  <c:pt idx="4">
                    <c:v>7.2399355429911569</c:v>
                  </c:pt>
                  <c:pt idx="5">
                    <c:v>8.9010767138962841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Zone'!$F$30,'Intermediate Zone'!$H$30,'Intermediate Zone'!$J$30,'Intermediate Zone'!$L$30,'Intermediate Zone'!$N$30,'Intermediate Zone'!$P$30)</c:f>
              <c:numCache>
                <c:formatCode>0.00</c:formatCode>
                <c:ptCount val="6"/>
                <c:pt idx="0">
                  <c:v>22.75</c:v>
                </c:pt>
                <c:pt idx="1">
                  <c:v>21.75</c:v>
                </c:pt>
                <c:pt idx="2">
                  <c:v>18.75</c:v>
                </c:pt>
                <c:pt idx="3">
                  <c:v>18.25</c:v>
                </c:pt>
                <c:pt idx="4">
                  <c:v>19.5</c:v>
                </c:pt>
                <c:pt idx="5">
                  <c:v>17.75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C-484E-B4C5-5413E7BA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'Intermediate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('Intermediate Zone'!$F$43,'Intermediate Zone'!$H$43,'Intermediate Zone'!$J$43,'Intermediate Zone'!$L$43,'Intermediate Zone'!$N$43,'Intermediate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('Intermediate Zone'!$F$43,'Intermediate Zone'!$H$43,'Intermediate Zone'!$J$43,'Intermediate Zone'!$L$43,'Intermediate Zone'!$N$43,'Intermediate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('Intermediate Zone'!$F$42,'Intermediate Zone'!$H$42,'Intermediate Zone'!$J$42,'Intermediate Zone'!$L$42,'Intermediate Zone'!$N$42,'Intermediate Zone'!$P$42)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A7C-484E-B4C5-5413E7BA6B5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'Intermediate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Zone'!$F$55,'Intermediate Zone'!$H$55,'Intermediate Zone'!$J$55,'Intermediate Zone'!$L$55,'Intermediate Zone'!$N$55,'Intermediate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Zone'!$F$55,'Intermediate Zone'!$H$55,'Intermediate Zone'!$J$55,'Intermediate Zone'!$L$55,'Intermediate Zone'!$N$55,'Intermediate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('Intermediate Zone'!$F$54,'Intermediate Zone'!$H$54,'Intermediate Zone'!$J$54,'Intermediate Zone'!$L$54,'Intermediate Zone'!$N$54,'Intermediate Zone'!$P$54)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E0-4B84-85DA-EC0500090A58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At val="0"/>
        <c:auto val="1"/>
        <c:lblAlgn val="ctr"/>
        <c:lblOffset val="100"/>
        <c:noMultiLvlLbl val="0"/>
      </c:catAx>
      <c:valAx>
        <c:axId val="498648352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182778765557534"/>
          <c:y val="0.14341178354146653"/>
          <c:w val="0.78817204301075272"/>
          <c:h val="0.11640615348153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'Outer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Zone'!$E$19,'Outer Zone'!$G$19,'Outer Zone'!$I$19,'Outer Zone'!$K$19,'Outer Zone'!$M$19,'Outer Zone'!$O$19)</c:f>
                <c:numCache>
                  <c:formatCode>General</c:formatCode>
                  <c:ptCount val="6"/>
                  <c:pt idx="0">
                    <c:v>4.4098104647478911</c:v>
                  </c:pt>
                  <c:pt idx="1">
                    <c:v>13.040894306916478</c:v>
                  </c:pt>
                  <c:pt idx="2">
                    <c:v>8.9624062244629137</c:v>
                  </c:pt>
                  <c:pt idx="3">
                    <c:v>4.2566188409689278</c:v>
                  </c:pt>
                  <c:pt idx="4">
                    <c:v>6.8845518475545351</c:v>
                  </c:pt>
                  <c:pt idx="5">
                    <c:v>3.8887332167215241</c:v>
                  </c:pt>
                </c:numCache>
              </c:numRef>
            </c:plus>
            <c:minus>
              <c:numRef>
                <c:f>('Outer Zone'!$E$19,'Outer Zone'!$G$19,'Outer Zone'!$I$19,'Outer Zone'!$K$19,'Outer Zone'!$M$19,'Outer Zone'!$O$19)</c:f>
                <c:numCache>
                  <c:formatCode>General</c:formatCode>
                  <c:ptCount val="6"/>
                  <c:pt idx="0">
                    <c:v>4.4098104647478911</c:v>
                  </c:pt>
                  <c:pt idx="1">
                    <c:v>13.040894306916478</c:v>
                  </c:pt>
                  <c:pt idx="2">
                    <c:v>8.9624062244629137</c:v>
                  </c:pt>
                  <c:pt idx="3">
                    <c:v>4.2566188409689278</c:v>
                  </c:pt>
                  <c:pt idx="4">
                    <c:v>6.8845518475545351</c:v>
                  </c:pt>
                  <c:pt idx="5">
                    <c:v>3.8887332167215241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Zone'!$E$18,'Outer Zone'!$G$18,'Outer Zone'!$I$18,'Outer Zone'!$K$18,'Outer Zone'!$M$18,'Outer Zone'!$O$18)</c:f>
              <c:numCache>
                <c:formatCode>0.00</c:formatCode>
                <c:ptCount val="6"/>
                <c:pt idx="0">
                  <c:v>86.816800000000001</c:v>
                </c:pt>
                <c:pt idx="1">
                  <c:v>82.327449999999999</c:v>
                </c:pt>
                <c:pt idx="2">
                  <c:v>74.750775000000004</c:v>
                </c:pt>
                <c:pt idx="3">
                  <c:v>83.841825</c:v>
                </c:pt>
                <c:pt idx="4">
                  <c:v>81.522400000000005</c:v>
                </c:pt>
                <c:pt idx="5">
                  <c:v>87.472350000000006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5-4CE3-88F5-EDAC1E9CE87A}"/>
            </c:ext>
          </c:extLst>
        </c:ser>
        <c:ser>
          <c:idx val="1"/>
          <c:order val="1"/>
          <c:tx>
            <c:strRef>
              <c:f>'Outer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Zone'!$E$31,'Outer Zone'!$G$31,'Outer Zone'!$I$31,'Outer Zone'!$K$31,'Outer Zone'!$M$31,'Outer Zone'!$O$31)</c:f>
                <c:numCache>
                  <c:formatCode>General</c:formatCode>
                  <c:ptCount val="6"/>
                  <c:pt idx="0">
                    <c:v>3.3976079147382015</c:v>
                  </c:pt>
                  <c:pt idx="1">
                    <c:v>7.1651089522275253</c:v>
                  </c:pt>
                  <c:pt idx="2">
                    <c:v>9.879195029834154</c:v>
                  </c:pt>
                  <c:pt idx="3">
                    <c:v>7.1239033209797622</c:v>
                  </c:pt>
                  <c:pt idx="4">
                    <c:v>8.587264717252296</c:v>
                  </c:pt>
                  <c:pt idx="5">
                    <c:v>7.3484458392432659</c:v>
                  </c:pt>
                </c:numCache>
              </c:numRef>
            </c:plus>
            <c:minus>
              <c:numRef>
                <c:f>('Outer Zone'!$E$31,'Outer Zone'!$G$31,'Outer Zone'!$I$31,'Outer Zone'!$K$31,'Outer Zone'!$M$31,'Outer Zone'!$O$31)</c:f>
                <c:numCache>
                  <c:formatCode>General</c:formatCode>
                  <c:ptCount val="6"/>
                  <c:pt idx="0">
                    <c:v>3.3976079147382015</c:v>
                  </c:pt>
                  <c:pt idx="1">
                    <c:v>7.1651089522275253</c:v>
                  </c:pt>
                  <c:pt idx="2">
                    <c:v>9.879195029834154</c:v>
                  </c:pt>
                  <c:pt idx="3">
                    <c:v>7.1239033209797622</c:v>
                  </c:pt>
                  <c:pt idx="4">
                    <c:v>8.587264717252296</c:v>
                  </c:pt>
                  <c:pt idx="5">
                    <c:v>7.3484458392432659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Zone'!$E$30,'Outer Zone'!$G$30,'Outer Zone'!$I$30,'Outer Zone'!$K$30,'Outer Zone'!$M$30,'Outer Zone'!$O$30)</c:f>
              <c:numCache>
                <c:formatCode>0.00</c:formatCode>
                <c:ptCount val="6"/>
                <c:pt idx="0">
                  <c:v>86.26377500000001</c:v>
                </c:pt>
                <c:pt idx="1">
                  <c:v>79.088875000000002</c:v>
                </c:pt>
                <c:pt idx="2">
                  <c:v>79.838849999999994</c:v>
                </c:pt>
                <c:pt idx="3">
                  <c:v>85.0749</c:v>
                </c:pt>
                <c:pt idx="4">
                  <c:v>80.974950000000007</c:v>
                </c:pt>
                <c:pt idx="5">
                  <c:v>87.522075000000001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5-4CE3-88F5-EDAC1E9C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'Outer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('Outer Zone'!$E$43,'Outer Zone'!$G$43,'Outer Zone'!$I$43,'Outer Zone'!$K$43,'Outer Zone'!$M$43,'Outer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('Outer Zone'!$E$43,'Outer Zone'!$G$43,'Outer Zone'!$I$43,'Outer Zone'!$K$43,'Outer Zone'!$M$43,'Outer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('Outer Zone'!$E$42,'Outer Zone'!$G$42,'Outer Zone'!$I$42,'Outer Zone'!$K$42,'Outer Zone'!$M$42,'Outer Zone'!$O$42)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E1-422A-BA08-690C8AD793F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'Outer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Zone'!$E$55,'Outer Zone'!$G$55,'Outer Zone'!$I$55,'Outer Zone'!$K$55,'Outer Zone'!$M$55,'Outer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Zone'!$E$55,'Outer Zone'!$G$55,'Outer Zone'!$I$55,'Outer Zone'!$K$55,'Outer Zone'!$M$55,'Outer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('Outer Zone'!$E$54,'Outer Zone'!$G$54,'Outer Zone'!$I$54,'Outer Zone'!$K$54,'Outer Zone'!$M$54,'Outer Zone'!$O$54)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929-41D0-9E65-CBA341159F1D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9024906648916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4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752671238675811"/>
          <c:y val="0.13526801759414017"/>
          <c:w val="0.7924731182795699"/>
          <c:h val="0.10874727836837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'Outer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Zone'!$F$19,'Outer Zone'!$H$19,'Outer Zone'!$J$19,'Outer Zone'!$L$19,'Outer Zone'!$N$19,'Outer Zone'!$P$19)</c:f>
                <c:numCache>
                  <c:formatCode>General</c:formatCode>
                  <c:ptCount val="6"/>
                  <c:pt idx="0">
                    <c:v>10.160175523418218</c:v>
                  </c:pt>
                  <c:pt idx="1">
                    <c:v>6.3574103742535497</c:v>
                  </c:pt>
                  <c:pt idx="2">
                    <c:v>4.6614554236489987</c:v>
                  </c:pt>
                  <c:pt idx="3">
                    <c:v>2.1984843263788196</c:v>
                  </c:pt>
                  <c:pt idx="4">
                    <c:v>4.0311288741492746</c:v>
                  </c:pt>
                  <c:pt idx="5">
                    <c:v>1.9364916731037085</c:v>
                  </c:pt>
                </c:numCache>
              </c:numRef>
            </c:plus>
            <c:minus>
              <c:numRef>
                <c:f>('Outer Zone'!$F$19,'Outer Zone'!$H$19,'Outer Zone'!$J$19,'Outer Zone'!$L$19,'Outer Zone'!$N$19,'Outer Zone'!$P$19)</c:f>
                <c:numCache>
                  <c:formatCode>General</c:formatCode>
                  <c:ptCount val="6"/>
                  <c:pt idx="0">
                    <c:v>10.160175523418218</c:v>
                  </c:pt>
                  <c:pt idx="1">
                    <c:v>6.3574103742535497</c:v>
                  </c:pt>
                  <c:pt idx="2">
                    <c:v>4.6614554236489987</c:v>
                  </c:pt>
                  <c:pt idx="3">
                    <c:v>2.1984843263788196</c:v>
                  </c:pt>
                  <c:pt idx="4">
                    <c:v>4.0311288741492746</c:v>
                  </c:pt>
                  <c:pt idx="5">
                    <c:v>1.9364916731037085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Zone'!$F$18,'Outer Zone'!$H$18,'Outer Zone'!$J$18,'Outer Zone'!$L$18,'Outer Zone'!$N$18,'Outer Zone'!$P$18)</c:f>
              <c:numCache>
                <c:formatCode>0.00</c:formatCode>
                <c:ptCount val="6"/>
                <c:pt idx="0">
                  <c:v>19.75</c:v>
                </c:pt>
                <c:pt idx="1">
                  <c:v>14.5</c:v>
                </c:pt>
                <c:pt idx="2">
                  <c:v>16.75</c:v>
                </c:pt>
                <c:pt idx="3">
                  <c:v>13</c:v>
                </c:pt>
                <c:pt idx="4">
                  <c:v>15.5</c:v>
                </c:pt>
                <c:pt idx="5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A69-BF95-F46FF7F35786}"/>
            </c:ext>
          </c:extLst>
        </c:ser>
        <c:ser>
          <c:idx val="1"/>
          <c:order val="1"/>
          <c:tx>
            <c:strRef>
              <c:f>'Outer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Zone'!$F$31,'Outer Zone'!$H$31,'Outer Zone'!$J$31,'Outer Zone'!$L$31,'Outer Zone'!$N$31,'Outer Zone'!$P$31)</c:f>
                <c:numCache>
                  <c:formatCode>General</c:formatCode>
                  <c:ptCount val="6"/>
                  <c:pt idx="0">
                    <c:v>3.0379543555930306</c:v>
                  </c:pt>
                  <c:pt idx="1">
                    <c:v>4.4814432199162511</c:v>
                  </c:pt>
                  <c:pt idx="2">
                    <c:v>3.8944404818493075</c:v>
                  </c:pt>
                  <c:pt idx="3">
                    <c:v>4.5529294598825789</c:v>
                  </c:pt>
                  <c:pt idx="4">
                    <c:v>4.4814432199162511</c:v>
                  </c:pt>
                  <c:pt idx="5">
                    <c:v>6.0964470527239607</c:v>
                  </c:pt>
                </c:numCache>
              </c:numRef>
            </c:plus>
            <c:minus>
              <c:numRef>
                <c:f>('Outer Zone'!$F$31,'Outer Zone'!$H$31,'Outer Zone'!$J$31,'Outer Zone'!$L$31,'Outer Zone'!$N$31,'Outer Zone'!$P$31)</c:f>
                <c:numCache>
                  <c:formatCode>General</c:formatCode>
                  <c:ptCount val="6"/>
                  <c:pt idx="0">
                    <c:v>3.0379543555930306</c:v>
                  </c:pt>
                  <c:pt idx="1">
                    <c:v>4.4814432199162511</c:v>
                  </c:pt>
                  <c:pt idx="2">
                    <c:v>3.8944404818493075</c:v>
                  </c:pt>
                  <c:pt idx="3">
                    <c:v>4.5529294598825789</c:v>
                  </c:pt>
                  <c:pt idx="4">
                    <c:v>4.4814432199162511</c:v>
                  </c:pt>
                  <c:pt idx="5">
                    <c:v>6.0964470527239607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Zone'!$F$30,'Outer Zone'!$H$30,'Outer Zone'!$J$30,'Outer Zone'!$L$30,'Outer Zone'!$N$30,'Outer Zone'!$P$30)</c:f>
              <c:numCache>
                <c:formatCode>0.00</c:formatCode>
                <c:ptCount val="6"/>
                <c:pt idx="0">
                  <c:v>21.25</c:v>
                </c:pt>
                <c:pt idx="1">
                  <c:v>15.5</c:v>
                </c:pt>
                <c:pt idx="2">
                  <c:v>13</c:v>
                </c:pt>
                <c:pt idx="3">
                  <c:v>14.25</c:v>
                </c:pt>
                <c:pt idx="4">
                  <c:v>14.5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7-4A69-BF95-F46FF7F3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'Outer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('Outer Zone'!$F$43,'Outer Zone'!$H$43,'Outer Zone'!$J$43,'Outer Zone'!$L$43,'Outer Zone'!$N$43,'Outer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('Outer Zone'!$F$43,'Outer Zone'!$H$43,'Outer Zone'!$J$43,'Outer Zone'!$L$43,'Outer Zone'!$N$43,'Outer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('Outer Zone'!$F$42,'Outer Zone'!$H$42,'Outer Zone'!$J$42,'Outer Zone'!$L$42,'Outer Zone'!$N$42,'Outer Zone'!$P$42)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9FB-4715-8C25-FEB2A23B238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'Outer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Zone'!$F$55,'Outer Zone'!$H$55,'Outer Zone'!$J$55,'Outer Zone'!$L$55,'Outer Zone'!$N$55,'Outer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Zone'!$F$55,'Outer Zone'!$H$55,'Outer Zone'!$J$55,'Outer Zone'!$L$55,'Outer Zone'!$N$55,'Outer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('Outer Zone'!$F$54,'Outer Zone'!$H$54,'Outer Zone'!$J$54,'Outer Zone'!$L$54,'Outer Zone'!$N$54,'Outer Zone'!$P$54)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BF5-41AA-A22B-A1B6C7EF7617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881032522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4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462348658030652"/>
          <c:y val="0.14341178354146653"/>
          <c:w val="0.80537634408602155"/>
          <c:h val="0.112403591842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Moving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layout>
        <c:manualLayout>
          <c:xMode val="edge"/>
          <c:yMode val="edge"/>
          <c:x val="0.31291372449411564"/>
          <c:y val="1.6016016016016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8166512969661"/>
        </c:manualLayout>
      </c:layout>
      <c:lineChart>
        <c:grouping val="standard"/>
        <c:varyColors val="0"/>
        <c:ser>
          <c:idx val="0"/>
          <c:order val="0"/>
          <c:tx>
            <c:strRef>
              <c:f>Movement!$A$9:$A$10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(Movement!$E$19,Movement!$G$19,Movement!$I$19,Movement!$K$19,Movement!$M$19,Movement!$O$19)</c:f>
                <c:numCache>
                  <c:formatCode>General</c:formatCode>
                  <c:ptCount val="6"/>
                  <c:pt idx="0">
                    <c:v>2.2840304539832501</c:v>
                  </c:pt>
                  <c:pt idx="1">
                    <c:v>1.0669141979510732</c:v>
                  </c:pt>
                  <c:pt idx="2">
                    <c:v>1.0311974216778304</c:v>
                  </c:pt>
                  <c:pt idx="3">
                    <c:v>0.60578470948156093</c:v>
                  </c:pt>
                  <c:pt idx="4">
                    <c:v>0.9891053697239095</c:v>
                  </c:pt>
                  <c:pt idx="5">
                    <c:v>0.64902464952386896</c:v>
                  </c:pt>
                </c:numCache>
              </c:numRef>
            </c:plus>
            <c:minus>
              <c:numRef>
                <c:f>(Movement!$E$19,Movement!$G$19,Movement!$I$19,Movement!$K$19,Movement!$M$19,Movement!$O$19)</c:f>
                <c:numCache>
                  <c:formatCode>General</c:formatCode>
                  <c:ptCount val="6"/>
                  <c:pt idx="0">
                    <c:v>2.2840304539832501</c:v>
                  </c:pt>
                  <c:pt idx="1">
                    <c:v>1.0669141979510732</c:v>
                  </c:pt>
                  <c:pt idx="2">
                    <c:v>1.0311974216778304</c:v>
                  </c:pt>
                  <c:pt idx="3">
                    <c:v>0.60578470948156093</c:v>
                  </c:pt>
                  <c:pt idx="4">
                    <c:v>0.9891053697239095</c:v>
                  </c:pt>
                  <c:pt idx="5">
                    <c:v>0.64902464952386896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(Movement!$E$18,Movement!$G$18,Movement!$I$18,Movement!$K$18,Movement!$M$18,Movement!$O$18)</c:f>
              <c:numCache>
                <c:formatCode>0.00</c:formatCode>
                <c:ptCount val="6"/>
                <c:pt idx="0">
                  <c:v>11.558207499999998</c:v>
                </c:pt>
                <c:pt idx="1">
                  <c:v>7.8170774999999999</c:v>
                </c:pt>
                <c:pt idx="2">
                  <c:v>7.4193749999999996</c:v>
                </c:pt>
                <c:pt idx="3">
                  <c:v>8.4360250000000008</c:v>
                </c:pt>
                <c:pt idx="4">
                  <c:v>8.2832399999999993</c:v>
                </c:pt>
                <c:pt idx="5">
                  <c:v>7.3736475000000006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1-4E31-B1A5-2606C21456E4}"/>
            </c:ext>
          </c:extLst>
        </c:ser>
        <c:ser>
          <c:idx val="1"/>
          <c:order val="1"/>
          <c:tx>
            <c:strRef>
              <c:f>Movement!$A$21:$A$22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(Movement!$E$31,Movement!$G$31,Movement!$I$31,Movement!$K$31,Movement!$M$31,Movement!$O$31)</c:f>
                <c:numCache>
                  <c:formatCode>General</c:formatCode>
                  <c:ptCount val="6"/>
                  <c:pt idx="0">
                    <c:v>1.1786230981530976</c:v>
                  </c:pt>
                  <c:pt idx="1">
                    <c:v>1.4773511544899955</c:v>
                  </c:pt>
                  <c:pt idx="2">
                    <c:v>1.5326182450378554</c:v>
                  </c:pt>
                  <c:pt idx="3">
                    <c:v>1.4335736123720981</c:v>
                  </c:pt>
                  <c:pt idx="4">
                    <c:v>1.921744001063336</c:v>
                  </c:pt>
                  <c:pt idx="5">
                    <c:v>2.2580843251355587</c:v>
                  </c:pt>
                </c:numCache>
              </c:numRef>
            </c:plus>
            <c:minus>
              <c:numRef>
                <c:f>(Movement!$E$31,Movement!$G$31,Movement!$I$31,Movement!$K$31,Movement!$M$31,Movement!$O$31)</c:f>
                <c:numCache>
                  <c:formatCode>General</c:formatCode>
                  <c:ptCount val="6"/>
                  <c:pt idx="0">
                    <c:v>1.1786230981530976</c:v>
                  </c:pt>
                  <c:pt idx="1">
                    <c:v>1.4773511544899955</c:v>
                  </c:pt>
                  <c:pt idx="2">
                    <c:v>1.5326182450378554</c:v>
                  </c:pt>
                  <c:pt idx="3">
                    <c:v>1.4335736123720981</c:v>
                  </c:pt>
                  <c:pt idx="4">
                    <c:v>1.921744001063336</c:v>
                  </c:pt>
                  <c:pt idx="5">
                    <c:v>2.2580843251355587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(Movement!$E$30,Movement!$G$30,Movement!$I$30,Movement!$K$30,Movement!$M$30,Movement!$O$30)</c:f>
              <c:numCache>
                <c:formatCode>0.00</c:formatCode>
                <c:ptCount val="6"/>
                <c:pt idx="0">
                  <c:v>14.472049999999999</c:v>
                </c:pt>
                <c:pt idx="1">
                  <c:v>8.1670774999999995</c:v>
                </c:pt>
                <c:pt idx="2">
                  <c:v>7.6673274999999999</c:v>
                </c:pt>
                <c:pt idx="3">
                  <c:v>7.2804924999999994</c:v>
                </c:pt>
                <c:pt idx="4">
                  <c:v>7.7956075</c:v>
                </c:pt>
                <c:pt idx="5">
                  <c:v>8.2999125000000014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E31-B1A5-2606C2145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Movement!$A$33:$A$34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(Movement!$E$43,Movement!$G$43,Movement!$I$43,Movement!$K$43,Movement!$M$43,Movement!$O$43)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(Movement!$O$43,Movement!$M$43,Movement!$K$43,Movement!$I$43,Movement!$G$43,Movement!$E$43)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(Movement!$E$42,Movement!$G$42,Movement!$I$42,Movement!$K$42,Movement!$M$42,Movement!$O$42)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2F7-458F-BA71-73EDF69BC0E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Movement!$A$45:$A$46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(Movement!$E$55,Movement!$G$55,Movement!$I$55,Movement!$K$55,Movement!$M$55,Movement!$O$55)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(Movement!$E$55,Movement!$G$55,Movement!$I$55,Movement!$K$55,Movement!$M$55,Movement!$O$55)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(Movement!$E$54,Movement!$G$54,Movement!$I$54,Movement!$K$54,Movement!$M$54,Movement!$O$54)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C1-411D-9AFF-4E63DD4FC15F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937693599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3567579281947556"/>
          <c:w val="0.80107526881720426"/>
          <c:h val="0.10443608963294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Not Moving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9336110543818912"/>
        </c:manualLayout>
      </c:layout>
      <c:lineChart>
        <c:grouping val="standard"/>
        <c:varyColors val="0"/>
        <c:ser>
          <c:idx val="0"/>
          <c:order val="0"/>
          <c:tx>
            <c:strRef>
              <c:f>Movement!$A$9:$A$10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(Movement!$F$19,Movement!$H$19,Movement!$J$19,Movement!$L$19,Movement!$N$19,Movement!$P$19)</c:f>
                <c:numCache>
                  <c:formatCode>General</c:formatCode>
                  <c:ptCount val="6"/>
                  <c:pt idx="0">
                    <c:v>2.2840483629220016</c:v>
                  </c:pt>
                  <c:pt idx="1">
                    <c:v>1.0649539743575769</c:v>
                  </c:pt>
                  <c:pt idx="2">
                    <c:v>1.0333820239872589</c:v>
                  </c:pt>
                  <c:pt idx="3">
                    <c:v>0.6064654270167994</c:v>
                  </c:pt>
                  <c:pt idx="4">
                    <c:v>0.98909904163671503</c:v>
                  </c:pt>
                  <c:pt idx="5">
                    <c:v>0.64903919437375424</c:v>
                  </c:pt>
                </c:numCache>
              </c:numRef>
            </c:plus>
            <c:minus>
              <c:numRef>
                <c:f>(Movement!$F$19,Movement!$H$19,Movement!$J$19,Movement!$L$19,Movement!$N$19,Movement!$P$19)</c:f>
                <c:numCache>
                  <c:formatCode>General</c:formatCode>
                  <c:ptCount val="6"/>
                  <c:pt idx="0">
                    <c:v>2.2840483629220016</c:v>
                  </c:pt>
                  <c:pt idx="1">
                    <c:v>1.0649539743575769</c:v>
                  </c:pt>
                  <c:pt idx="2">
                    <c:v>1.0333820239872589</c:v>
                  </c:pt>
                  <c:pt idx="3">
                    <c:v>0.6064654270167994</c:v>
                  </c:pt>
                  <c:pt idx="4">
                    <c:v>0.98909904163671503</c:v>
                  </c:pt>
                  <c:pt idx="5">
                    <c:v>0.64903919437375424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(Movement!$F$18,Movement!$H$18,Movement!$J$18,Movement!$L$18,Movement!$N$18,Movement!$P$18)</c:f>
              <c:numCache>
                <c:formatCode>0.00</c:formatCode>
                <c:ptCount val="6"/>
                <c:pt idx="0">
                  <c:v>88.430649999999986</c:v>
                </c:pt>
                <c:pt idx="1">
                  <c:v>92.177850000000007</c:v>
                </c:pt>
                <c:pt idx="2">
                  <c:v>92.57835</c:v>
                </c:pt>
                <c:pt idx="3">
                  <c:v>91.561949999999996</c:v>
                </c:pt>
                <c:pt idx="4">
                  <c:v>91.716750000000005</c:v>
                </c:pt>
                <c:pt idx="5">
                  <c:v>92.626350000000002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0-4FC4-A36D-797048242962}"/>
            </c:ext>
          </c:extLst>
        </c:ser>
        <c:ser>
          <c:idx val="1"/>
          <c:order val="1"/>
          <c:tx>
            <c:strRef>
              <c:f>Movement!$A$21:$A$22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(Movement!$F$31,Movement!$H$31,Movement!$J$31,Movement!$L$31,Movement!$N$31,Movement!$P$31)</c:f>
                <c:numCache>
                  <c:formatCode>General</c:formatCode>
                  <c:ptCount val="6"/>
                  <c:pt idx="0">
                    <c:v>1.1786090361099408</c:v>
                  </c:pt>
                  <c:pt idx="1">
                    <c:v>1.4794618759873466</c:v>
                  </c:pt>
                  <c:pt idx="2">
                    <c:v>1.5430215543833696</c:v>
                  </c:pt>
                  <c:pt idx="3">
                    <c:v>1.4405555649210462</c:v>
                  </c:pt>
                  <c:pt idx="4">
                    <c:v>1.9378527929880696</c:v>
                  </c:pt>
                  <c:pt idx="5">
                    <c:v>2.327285886454793</c:v>
                  </c:pt>
                </c:numCache>
              </c:numRef>
            </c:plus>
            <c:minus>
              <c:numRef>
                <c:f>(Movement!$F$31,Movement!$H$31,Movement!$J$31,Movement!$L$31,Movement!$N$31,Movement!$P$31)</c:f>
                <c:numCache>
                  <c:formatCode>General</c:formatCode>
                  <c:ptCount val="6"/>
                  <c:pt idx="0">
                    <c:v>1.1786090361099408</c:v>
                  </c:pt>
                  <c:pt idx="1">
                    <c:v>1.4794618759873466</c:v>
                  </c:pt>
                  <c:pt idx="2">
                    <c:v>1.5430215543833696</c:v>
                  </c:pt>
                  <c:pt idx="3">
                    <c:v>1.4405555649210462</c:v>
                  </c:pt>
                  <c:pt idx="4">
                    <c:v>1.9378527929880696</c:v>
                  </c:pt>
                  <c:pt idx="5">
                    <c:v>2.327285886454793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(Movement!$F$30,Movement!$H$30,Movement!$J$30,Movement!$L$30,Movement!$N$30,Movement!$P$30)</c:f>
              <c:numCache>
                <c:formatCode>0.00</c:formatCode>
                <c:ptCount val="6"/>
                <c:pt idx="0">
                  <c:v>85.516800000000003</c:v>
                </c:pt>
                <c:pt idx="1">
                  <c:v>91.830150000000003</c:v>
                </c:pt>
                <c:pt idx="2">
                  <c:v>92.294775000000001</c:v>
                </c:pt>
                <c:pt idx="3">
                  <c:v>92.686925000000002</c:v>
                </c:pt>
                <c:pt idx="4">
                  <c:v>92.151624999999996</c:v>
                </c:pt>
                <c:pt idx="5">
                  <c:v>91.556875000000005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0-4FC4-A36D-79704824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Movement!$A$33:$A$34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(Movement!$F$43,Movement!$H$43,Movement!$J$43,Movement!$L$43,Movement!$N$43,Movement!$P$43)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(Movement!$P$43,Movement!$N$43,Movement!$L$43,Movement!$J$43,Movement!$H$43,Movement!$F$43)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(Movement!$F$42,Movement!$H$42,Movement!$J$42,Movement!$L$42,Movement!$N$42,Movement!$P$42)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B5A-4EF2-93B0-A07DDABD08A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Movement!$A$45:$A$46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(Movement!$F$55,Movement!$H$55,Movement!$J$55,Movement!$L$55,Movement!$N$55,Movement!$P$55)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(Movement!$F$55,Movement!$H$55,Movement!$J$55,Movement!$L$55,Movement!$N$55,Movement!$P$55)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(Movement!$F$54,Movement!$H$54,Movement!$J$54,Movement!$L$54,Movement!$N$54,Movement!$P$54)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1B7-4B65-8982-8907118AFE02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881032522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00"/>
          <c:min val="75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3584715153452478"/>
          <c:w val="0.7924731182795699"/>
          <c:h val="0.112403591842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Distance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'Distance &amp; Velocity'!$A$9:$A$10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Velocity'!$E$19,'Distance &amp; Velocity'!$G$19,'Distance &amp; Velocity'!$I$19,'Distance &amp; Velocity'!$K$19,'Distance &amp; Velocity'!$M$19,'Distance &amp; Velocity'!$O$19)</c:f>
                <c:numCache>
                  <c:formatCode>General</c:formatCode>
                  <c:ptCount val="6"/>
                  <c:pt idx="0">
                    <c:v>262.93573627456954</c:v>
                  </c:pt>
                  <c:pt idx="1">
                    <c:v>118.21891364426089</c:v>
                  </c:pt>
                  <c:pt idx="2">
                    <c:v>114.01900758672889</c:v>
                  </c:pt>
                  <c:pt idx="3">
                    <c:v>68.728094304658399</c:v>
                  </c:pt>
                  <c:pt idx="4">
                    <c:v>117.01719783611607</c:v>
                  </c:pt>
                  <c:pt idx="5">
                    <c:v>78.489461586678203</c:v>
                  </c:pt>
                </c:numCache>
              </c:numRef>
            </c:plus>
            <c:minus>
              <c:numRef>
                <c:f>('Distance &amp; Velocity'!$E$19,'Distance &amp; Velocity'!$G$19,'Distance &amp; Velocity'!$I$19,'Distance &amp; Velocity'!$K$19,'Distance &amp; Velocity'!$M$19,'Distance &amp; Velocity'!$O$19)</c:f>
                <c:numCache>
                  <c:formatCode>General</c:formatCode>
                  <c:ptCount val="6"/>
                  <c:pt idx="0">
                    <c:v>262.93573627456954</c:v>
                  </c:pt>
                  <c:pt idx="1">
                    <c:v>118.21891364426089</c:v>
                  </c:pt>
                  <c:pt idx="2">
                    <c:v>114.01900758672889</c:v>
                  </c:pt>
                  <c:pt idx="3">
                    <c:v>68.728094304658399</c:v>
                  </c:pt>
                  <c:pt idx="4">
                    <c:v>117.01719783611607</c:v>
                  </c:pt>
                  <c:pt idx="5">
                    <c:v>78.489461586678203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('Distance &amp; Velocity'!$E$5,'Distance &amp; Velocity'!$G$5,'Distance &amp; Velocity'!$I$5,'Distance &amp; Velocity'!$K$5,'Distance &amp; Velocity'!$M$5,'Distance &amp; Velocity'!$O$5)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('Distance &amp; Velocity'!$E$18,'Distance &amp; Velocity'!$G$18,'Distance &amp; Velocity'!$I$18,'Distance &amp; Velocity'!$K$18,'Distance &amp; Velocity'!$M$18,'Distance &amp; Velocity'!$O$18)</c:f>
              <c:numCache>
                <c:formatCode>0.00</c:formatCode>
                <c:ptCount val="6"/>
                <c:pt idx="0">
                  <c:v>1239.9555</c:v>
                </c:pt>
                <c:pt idx="1">
                  <c:v>812.50524999999993</c:v>
                </c:pt>
                <c:pt idx="2">
                  <c:v>767.66174999999998</c:v>
                </c:pt>
                <c:pt idx="3">
                  <c:v>876.08550000000002</c:v>
                </c:pt>
                <c:pt idx="4">
                  <c:v>863.46049999999991</c:v>
                </c:pt>
                <c:pt idx="5">
                  <c:v>766.27700000000004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A-485C-A951-F30DF2CB4C07}"/>
            </c:ext>
          </c:extLst>
        </c:ser>
        <c:ser>
          <c:idx val="1"/>
          <c:order val="1"/>
          <c:tx>
            <c:strRef>
              <c:f>'Distance &amp; Velocity'!$A$21:$A$22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Velocity'!$E$31,'Distance &amp; Velocity'!$G$31,'Distance &amp; Velocity'!$I$31,'Distance &amp; Velocity'!$K$31,'Distance &amp; Velocity'!$M$31,'Distance &amp; Velocity'!$O$31,'Distance &amp; Velocity'!$Q$31)</c:f>
                <c:numCache>
                  <c:formatCode>General</c:formatCode>
                  <c:ptCount val="7"/>
                  <c:pt idx="0">
                    <c:v>142.52075290403516</c:v>
                  </c:pt>
                  <c:pt idx="1">
                    <c:v>157.84258211822961</c:v>
                  </c:pt>
                  <c:pt idx="2">
                    <c:v>164.85870286121795</c:v>
                  </c:pt>
                  <c:pt idx="3">
                    <c:v>154.78803544491379</c:v>
                  </c:pt>
                  <c:pt idx="4">
                    <c:v>204.15112098205375</c:v>
                  </c:pt>
                  <c:pt idx="5">
                    <c:v>249.84375185987057</c:v>
                  </c:pt>
                  <c:pt idx="6">
                    <c:v>1015.2516283356382</c:v>
                  </c:pt>
                </c:numCache>
              </c:numRef>
            </c:plus>
            <c:minus>
              <c:numRef>
                <c:f>('Distance &amp; Velocity'!$E$31,'Distance &amp; Velocity'!$G$31,'Distance &amp; Velocity'!$I$31,'Distance &amp; Velocity'!$K$31,'Distance &amp; Velocity'!$M$31,'Distance &amp; Velocity'!$O$31)</c:f>
                <c:numCache>
                  <c:formatCode>General</c:formatCode>
                  <c:ptCount val="6"/>
                  <c:pt idx="0">
                    <c:v>142.52075290403516</c:v>
                  </c:pt>
                  <c:pt idx="1">
                    <c:v>157.84258211822961</c:v>
                  </c:pt>
                  <c:pt idx="2">
                    <c:v>164.85870286121795</c:v>
                  </c:pt>
                  <c:pt idx="3">
                    <c:v>154.78803544491379</c:v>
                  </c:pt>
                  <c:pt idx="4">
                    <c:v>204.15112098205375</c:v>
                  </c:pt>
                  <c:pt idx="5">
                    <c:v>249.84375185987057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('Distance &amp; Velocity'!$E$30,'Distance &amp; Velocity'!$G$30,'Distance &amp; Velocity'!$I$30,'Distance &amp; Velocity'!$K$30,'Distance &amp; Velocity'!$M$30,'Distance &amp; Velocity'!$O$30)</c:f>
              <c:numCache>
                <c:formatCode>0.00</c:formatCode>
                <c:ptCount val="6"/>
                <c:pt idx="0">
                  <c:v>1560.9850000000001</c:v>
                </c:pt>
                <c:pt idx="1">
                  <c:v>861.03749999999991</c:v>
                </c:pt>
                <c:pt idx="2">
                  <c:v>808.56749999999988</c:v>
                </c:pt>
                <c:pt idx="3">
                  <c:v>765.76524999999992</c:v>
                </c:pt>
                <c:pt idx="4">
                  <c:v>823.00025000000005</c:v>
                </c:pt>
                <c:pt idx="5">
                  <c:v>894.5005000000001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A-485C-A951-F30DF2CB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'Distance &amp; Velocity'!$A$33:$A$34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('Distance &amp; Velocity'!$E$43,'Distance &amp; Velocity'!$G$43,'Distance &amp; Velocity'!$I$43,'Distance &amp; Velocity'!$K$43,'Distance &amp; Velocity'!$M$43,'Distance &amp; Velocity'!$O$43)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('Distance &amp; Velocity'!$O$43,'Distance &amp; Velocity'!$M$43,'Distance &amp; Velocity'!$K$43,'Distance &amp; Velocity'!$I$43,'Distance &amp; Velocity'!$I$43,'Distance &amp; Velocity'!$G$43,'Distance &amp; Velocity'!$E$43)</c15:sqref>
                          </c15:formulaRef>
                        </c:ext>
                      </c:extLst>
                      <c:numCache>
                        <c:formatCode>General</c:formatCode>
                        <c:ptCount val="7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  <c:pt idx="6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('Distance &amp; Velocity'!$E$42,'Distance &amp; Velocity'!$G$42,'Distance &amp; Velocity'!$I$42,'Distance &amp; Velocity'!$K$42,'Distance &amp; Velocity'!$M$42,'Distance &amp; Velocity'!$O$42)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AB4-44FD-AC6E-993257F9841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'Distance &amp; Velocity'!$A$45:$A$46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Velocity'!$E$55,'Distance &amp; Velocity'!$G$55,'Distance &amp; Velocity'!$I$55,'Distance &amp; Velocity'!$K$55,'Distance &amp; Velocity'!$M$55,'Distance &amp; Velocity'!$O$55)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Velocity'!$E$55,'Distance &amp; Velocity'!$G$55,'Distance &amp; Velocity'!$I$55,'Distance &amp; Velocity'!$K$55,'Distance &amp; Velocity'!$M$55,'Distance &amp; Velocity'!$O$55)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('Distance &amp; Velocity'!$E$54,'Distance &amp; Velocity'!$G$54,'Distance &amp; Velocity'!$I$54,'Distance &amp; Velocity'!$K$54,'Distance &amp; Velocity'!$M$54,'Distance &amp; Velocity'!$O$54)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2ED-4ACD-971E-2791575B9B93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90246702771663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182778765557534"/>
          <c:y val="0.13940909774404753"/>
          <c:w val="0.7924731182795699"/>
          <c:h val="0.10840103020263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>
                <a:solidFill>
                  <a:srgbClr val="000099"/>
                </a:solidFill>
                <a:latin typeface="Arial Rounded MT Bold" panose="020F0704030504030204" pitchFamily="34" charset="0"/>
              </a:rPr>
              <a:t>Velocity (cm/s)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135342051984137"/>
        </c:manualLayout>
      </c:layout>
      <c:lineChart>
        <c:grouping val="standard"/>
        <c:varyColors val="0"/>
        <c:ser>
          <c:idx val="0"/>
          <c:order val="0"/>
          <c:tx>
            <c:strRef>
              <c:f>'Distance &amp; Velocity'!$A$9:$A$10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Velocity'!$F$19,'Distance &amp; Velocity'!$H$19,'Distance &amp; Velocity'!$J$19,'Distance &amp; Velocity'!$L$19,'Distance &amp; Velocity'!$N$19,'Distance &amp; Velocity'!$P$19)</c:f>
                <c:numCache>
                  <c:formatCode>General</c:formatCode>
                  <c:ptCount val="6"/>
                  <c:pt idx="0">
                    <c:v>7888.191472807096</c:v>
                  </c:pt>
                  <c:pt idx="1">
                    <c:v>3546.6151972397088</c:v>
                  </c:pt>
                  <c:pt idx="2">
                    <c:v>3420.5940318349712</c:v>
                  </c:pt>
                  <c:pt idx="3">
                    <c:v>2061.8513252151984</c:v>
                  </c:pt>
                  <c:pt idx="4">
                    <c:v>3510.5518647358026</c:v>
                  </c:pt>
                  <c:pt idx="5">
                    <c:v>2354.7028589523429</c:v>
                  </c:pt>
                </c:numCache>
              </c:numRef>
            </c:plus>
            <c:minus>
              <c:numRef>
                <c:f>('Distance &amp; Velocity'!$F$19,'Distance &amp; Velocity'!$H$19,'Distance &amp; Velocity'!$J$19,'Distance &amp; Velocity'!$L$19,'Distance &amp; Velocity'!$N$19,'Distance &amp; Velocity'!$P$19)</c:f>
                <c:numCache>
                  <c:formatCode>General</c:formatCode>
                  <c:ptCount val="6"/>
                  <c:pt idx="0">
                    <c:v>7888.191472807096</c:v>
                  </c:pt>
                  <c:pt idx="1">
                    <c:v>3546.6151972397088</c:v>
                  </c:pt>
                  <c:pt idx="2">
                    <c:v>3420.5940318349712</c:v>
                  </c:pt>
                  <c:pt idx="3">
                    <c:v>2061.8513252151984</c:v>
                  </c:pt>
                  <c:pt idx="4">
                    <c:v>3510.5518647358026</c:v>
                  </c:pt>
                  <c:pt idx="5">
                    <c:v>2354.7028589523429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('Distance &amp; Velocity'!$E$5,'Distance &amp; Velocity'!$G$5,'Distance &amp; Velocity'!$I$5,'Distance &amp; Velocity'!$K$5,'Distance &amp; Velocity'!$M$5,'Distance &amp; Velocity'!$O$5)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('Distance &amp; Velocity'!$F$18,'Distance &amp; Velocity'!$H$18,'Distance &amp; Velocity'!$J$18,'Distance &amp; Velocity'!$L$18,'Distance &amp; Velocity'!$N$18,'Distance &amp; Velocity'!$P$18)</c:f>
              <c:numCache>
                <c:formatCode>0.00</c:formatCode>
                <c:ptCount val="6"/>
                <c:pt idx="0">
                  <c:v>37199</c:v>
                </c:pt>
                <c:pt idx="1">
                  <c:v>24375.424999999999</c:v>
                </c:pt>
                <c:pt idx="2">
                  <c:v>23030.075000000001</c:v>
                </c:pt>
                <c:pt idx="3">
                  <c:v>26282.825000000001</c:v>
                </c:pt>
                <c:pt idx="4">
                  <c:v>25904.1</c:v>
                </c:pt>
                <c:pt idx="5">
                  <c:v>22988.525000000001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2-463A-A25B-6484E2E1F392}"/>
            </c:ext>
          </c:extLst>
        </c:ser>
        <c:ser>
          <c:idx val="1"/>
          <c:order val="1"/>
          <c:tx>
            <c:strRef>
              <c:f>'Distance &amp; Velocity'!$A$21:$A$22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Velocity'!$F$31,'Distance &amp; Velocity'!$H$31,'Distance &amp; Velocity'!$J$31,'Distance &amp; Velocity'!$L$31,'Distance &amp; Velocity'!$N$31,'Distance &amp; Velocity'!$P$31)</c:f>
                <c:numCache>
                  <c:formatCode>General</c:formatCode>
                  <c:ptCount val="6"/>
                  <c:pt idx="0">
                    <c:v>4275.6350976590065</c:v>
                  </c:pt>
                  <c:pt idx="1">
                    <c:v>4735.2895237954235</c:v>
                  </c:pt>
                  <c:pt idx="2">
                    <c:v>4945.8401778666421</c:v>
                  </c:pt>
                  <c:pt idx="3">
                    <c:v>4643.7020050458323</c:v>
                  </c:pt>
                  <c:pt idx="4">
                    <c:v>6124.5914285612762</c:v>
                  </c:pt>
                  <c:pt idx="5">
                    <c:v>7495.3791146316444</c:v>
                  </c:pt>
                </c:numCache>
              </c:numRef>
            </c:plus>
            <c:minus>
              <c:numRef>
                <c:f>('Distance &amp; Velocity'!$F$31,'Distance &amp; Velocity'!$H$31,'Distance &amp; Velocity'!$J$31,'Distance &amp; Velocity'!$L$31,'Distance &amp; Velocity'!$N$31,'Distance &amp; Velocity'!$P$31)</c:f>
                <c:numCache>
                  <c:formatCode>General</c:formatCode>
                  <c:ptCount val="6"/>
                  <c:pt idx="0">
                    <c:v>4275.6350976590065</c:v>
                  </c:pt>
                  <c:pt idx="1">
                    <c:v>4735.2895237954235</c:v>
                  </c:pt>
                  <c:pt idx="2">
                    <c:v>4945.8401778666421</c:v>
                  </c:pt>
                  <c:pt idx="3">
                    <c:v>4643.7020050458323</c:v>
                  </c:pt>
                  <c:pt idx="4">
                    <c:v>6124.5914285612762</c:v>
                  </c:pt>
                  <c:pt idx="5">
                    <c:v>7495.3791146316444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('Distance &amp; Velocity'!$F$30,'Distance &amp; Velocity'!$H$30,'Distance &amp; Velocity'!$J$30,'Distance &amp; Velocity'!$L$30,'Distance &amp; Velocity'!$N$30,'Distance &amp; Velocity'!$P$30)</c:f>
              <c:numCache>
                <c:formatCode>0.00</c:formatCode>
                <c:ptCount val="6"/>
                <c:pt idx="0">
                  <c:v>46829.999999999993</c:v>
                </c:pt>
                <c:pt idx="1">
                  <c:v>25831.35</c:v>
                </c:pt>
                <c:pt idx="2">
                  <c:v>24257.300000000003</c:v>
                </c:pt>
                <c:pt idx="3">
                  <c:v>22973.199999999997</c:v>
                </c:pt>
                <c:pt idx="4">
                  <c:v>24690.2425</c:v>
                </c:pt>
                <c:pt idx="5">
                  <c:v>26835.307499999999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2-463A-A25B-6484E2E1F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'Distance &amp; Velocity'!$A$33:$A$34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('Distance &amp; Velocity'!$F$43,'Distance &amp; Velocity'!$H$43,'Distance &amp; Velocity'!$J$43,'Distance &amp; Velocity'!$L$43,'Distance &amp; Velocity'!$N$43,'Distance &amp; Velocity'!$P$43)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('Distance &amp; Velocity'!$P$43,'Distance &amp; Velocity'!$N$43,'Distance &amp; Velocity'!$L$43,'Distance &amp; Velocity'!$J$43,'Distance &amp; Velocity'!$H$43,'Distance &amp; Velocity'!$F$43,'Distance &amp; Velocity'!$F$43)</c15:sqref>
                          </c15:formulaRef>
                        </c:ext>
                      </c:extLst>
                      <c:numCache>
                        <c:formatCode>General</c:formatCode>
                        <c:ptCount val="7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  <c:pt idx="6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('Distance &amp; Velocity'!$F$42,'Distance &amp; Velocity'!$H$42,'Distance &amp; Velocity'!$J$42,'Distance &amp; Velocity'!$L$42,'Distance &amp; Velocity'!$N$42,'Distance &amp; Velocity'!$P$42)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4C-4E48-89B4-1F57BE4578B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'Distance &amp; Velocity'!$A$45:$A$46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Velocity'!$F$55,'Distance &amp; Velocity'!$H$55,'Distance &amp; Velocity'!$J$55,'Distance &amp; Velocity'!$L$55,'Distance &amp; Velocity'!$N$55,'Distance &amp; Velocity'!$P$55)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Velocity'!$F$55,'Distance &amp; Velocity'!$H$55,'Distance &amp; Velocity'!$J$55,'Distance &amp; Velocity'!$L$55,'Distance &amp; Velocity'!$N$55,'Distance &amp; Velocity'!$P$55)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('Distance &amp; Velocity'!$F$54,'Distance &amp; Velocity'!$H$54,'Distance &amp; Velocity'!$J$54,'Distance &amp; Velocity'!$L$54,'Distance &amp; Velocity'!$N$54,'Distance &amp; Velocity'!$P$54)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87A-45D9-AEC0-AA6868238BDB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075590551181101"/>
          <c:y val="0.13658575059322031"/>
          <c:w val="0.80321937177207692"/>
          <c:h val="0.10756931680369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232928</xdr:colOff>
      <xdr:row>19</xdr:row>
      <xdr:rowOff>246784</xdr:rowOff>
    </xdr:from>
    <xdr:to>
      <xdr:col>22</xdr:col>
      <xdr:colOff>450167</xdr:colOff>
      <xdr:row>37</xdr:row>
      <xdr:rowOff>68684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234660</xdr:colOff>
      <xdr:row>38</xdr:row>
      <xdr:rowOff>36367</xdr:rowOff>
    </xdr:from>
    <xdr:to>
      <xdr:col>22</xdr:col>
      <xdr:colOff>451899</xdr:colOff>
      <xdr:row>55</xdr:row>
      <xdr:rowOff>118040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47625</xdr:colOff>
      <xdr:row>16</xdr:row>
      <xdr:rowOff>0</xdr:rowOff>
    </xdr:from>
    <xdr:ext cx="4111625" cy="3606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293D91-9900-45CD-AC37-8DCF7B0CFAB7}"/>
            </a:ext>
          </a:extLst>
        </xdr:cNvPr>
        <xdr:cNvSpPr txBox="1"/>
      </xdr:nvSpPr>
      <xdr:spPr>
        <a:xfrm>
          <a:off x="15821025" y="4908550"/>
          <a:ext cx="4111625" cy="3606800"/>
        </a:xfrm>
        <a:prstGeom prst="rect">
          <a:avLst/>
        </a:prstGeom>
        <a:solidFill>
          <a:srgbClr val="FFFFCD"/>
        </a:solidFill>
        <a:ln w="12700">
          <a:solidFill>
            <a:srgbClr val="00006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 b="0">
              <a:solidFill>
                <a:srgbClr val="BC0000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Experimental</a:t>
          </a:r>
          <a:r>
            <a:rPr lang="en-US" sz="2000" b="0" baseline="0">
              <a:solidFill>
                <a:srgbClr val="BC0000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Notes:</a:t>
          </a:r>
        </a:p>
        <a:p>
          <a:endParaRPr lang="en-US" sz="12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Two groups of mice were tested, Control and Experiment, Males. </a:t>
          </a:r>
        </a:p>
        <a:p>
          <a:endParaRPr lang="en-US" sz="1400" b="1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All mice were purchased from JAX (000664) and transferred to the Core at 8-9 weeks of age. After 16 weeks of HFD feeding plus 3 weeks of stress induction, the Core performed behavioral tests.</a:t>
          </a:r>
        </a:p>
        <a:p>
          <a:endParaRPr lang="en-US" sz="1400" b="1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Group or individual mouse tracing maps are available upon request.  </a:t>
          </a:r>
        </a:p>
        <a:p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1</xdr:rowOff>
    </xdr:from>
    <xdr:to>
      <xdr:col>23</xdr:col>
      <xdr:colOff>9525</xdr:colOff>
      <xdr:row>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40E2ED-D6A0-412C-AEA1-B22E8B55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15782925" cy="2158999"/>
        </a:xfrm>
        <a:prstGeom prst="rect">
          <a:avLst/>
        </a:prstGeom>
      </xdr:spPr>
    </xdr:pic>
    <xdr:clientData/>
  </xdr:twoCellAnchor>
  <xdr:twoCellAnchor>
    <xdr:from>
      <xdr:col>5</xdr:col>
      <xdr:colOff>361950</xdr:colOff>
      <xdr:row>16</xdr:row>
      <xdr:rowOff>95250</xdr:rowOff>
    </xdr:from>
    <xdr:to>
      <xdr:col>14</xdr:col>
      <xdr:colOff>107950</xdr:colOff>
      <xdr:row>19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D18769-E361-F9F4-6CED-AD70219E3AC8}"/>
            </a:ext>
          </a:extLst>
        </xdr:cNvPr>
        <xdr:cNvSpPr txBox="1"/>
      </xdr:nvSpPr>
      <xdr:spPr>
        <a:xfrm>
          <a:off x="3790950" y="4997450"/>
          <a:ext cx="591820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Center Zone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219075</xdr:colOff>
      <xdr:row>4</xdr:row>
      <xdr:rowOff>0</xdr:rowOff>
    </xdr:from>
    <xdr:to>
      <xdr:col>22</xdr:col>
      <xdr:colOff>428625</xdr:colOff>
      <xdr:row>21</xdr:row>
      <xdr:rowOff>96393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22</xdr:row>
      <xdr:rowOff>114300</xdr:rowOff>
    </xdr:from>
    <xdr:to>
      <xdr:col>22</xdr:col>
      <xdr:colOff>438150</xdr:colOff>
      <xdr:row>40</xdr:row>
      <xdr:rowOff>29718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0</xdr:row>
      <xdr:rowOff>158750</xdr:rowOff>
    </xdr:from>
    <xdr:to>
      <xdr:col>15</xdr:col>
      <xdr:colOff>19050</xdr:colOff>
      <xdr:row>3</xdr:row>
      <xdr:rowOff>69850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24391-6A01-4706-9355-E4A5D2A08BF2}"/>
            </a:ext>
          </a:extLst>
        </xdr:cNvPr>
        <xdr:cNvSpPr txBox="1"/>
      </xdr:nvSpPr>
      <xdr:spPr>
        <a:xfrm>
          <a:off x="3352800" y="1587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Intermediate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Zone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219075</xdr:colOff>
      <xdr:row>4</xdr:row>
      <xdr:rowOff>0</xdr:rowOff>
    </xdr:from>
    <xdr:to>
      <xdr:col>22</xdr:col>
      <xdr:colOff>428625</xdr:colOff>
      <xdr:row>21</xdr:row>
      <xdr:rowOff>96393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22</xdr:row>
      <xdr:rowOff>66675</xdr:rowOff>
    </xdr:from>
    <xdr:to>
      <xdr:col>22</xdr:col>
      <xdr:colOff>438150</xdr:colOff>
      <xdr:row>39</xdr:row>
      <xdr:rowOff>163068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628650</xdr:colOff>
      <xdr:row>0</xdr:row>
      <xdr:rowOff>133350</xdr:rowOff>
    </xdr:from>
    <xdr:to>
      <xdr:col>15</xdr:col>
      <xdr:colOff>38100</xdr:colOff>
      <xdr:row>3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900EF-63D8-48BB-97F6-41E91170C689}"/>
            </a:ext>
          </a:extLst>
        </xdr:cNvPr>
        <xdr:cNvSpPr txBox="1"/>
      </xdr:nvSpPr>
      <xdr:spPr>
        <a:xfrm>
          <a:off x="3371850" y="1333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Outer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Zone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238125</xdr:colOff>
      <xdr:row>3</xdr:row>
      <xdr:rowOff>257174</xdr:rowOff>
    </xdr:from>
    <xdr:to>
      <xdr:col>22</xdr:col>
      <xdr:colOff>447675</xdr:colOff>
      <xdr:row>21</xdr:row>
      <xdr:rowOff>95249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247650</xdr:colOff>
      <xdr:row>22</xdr:row>
      <xdr:rowOff>85725</xdr:rowOff>
    </xdr:from>
    <xdr:to>
      <xdr:col>22</xdr:col>
      <xdr:colOff>457200</xdr:colOff>
      <xdr:row>40</xdr:row>
      <xdr:rowOff>1143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0</xdr:row>
      <xdr:rowOff>107950</xdr:rowOff>
    </xdr:from>
    <xdr:to>
      <xdr:col>15</xdr:col>
      <xdr:colOff>12700</xdr:colOff>
      <xdr:row>3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9FCA43-3E2C-4E5D-B5FB-035F07DB789B}"/>
            </a:ext>
          </a:extLst>
        </xdr:cNvPr>
        <xdr:cNvSpPr txBox="1"/>
      </xdr:nvSpPr>
      <xdr:spPr>
        <a:xfrm>
          <a:off x="3346450" y="1079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in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Moving vs. Not Moving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234950</xdr:colOff>
      <xdr:row>4</xdr:row>
      <xdr:rowOff>4762</xdr:rowOff>
    </xdr:from>
    <xdr:to>
      <xdr:col>22</xdr:col>
      <xdr:colOff>444500</xdr:colOff>
      <xdr:row>21</xdr:row>
      <xdr:rowOff>101155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255587</xdr:colOff>
      <xdr:row>24</xdr:row>
      <xdr:rowOff>26987</xdr:rowOff>
    </xdr:from>
    <xdr:to>
      <xdr:col>22</xdr:col>
      <xdr:colOff>465137</xdr:colOff>
      <xdr:row>41</xdr:row>
      <xdr:rowOff>123380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0</xdr:row>
      <xdr:rowOff>107950</xdr:rowOff>
    </xdr:from>
    <xdr:to>
      <xdr:col>15</xdr:col>
      <xdr:colOff>19050</xdr:colOff>
      <xdr:row>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E80528-DD13-4CA3-997C-A0AEE12A53B2}"/>
            </a:ext>
          </a:extLst>
        </xdr:cNvPr>
        <xdr:cNvSpPr txBox="1"/>
      </xdr:nvSpPr>
      <xdr:spPr>
        <a:xfrm>
          <a:off x="3352800" y="1079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Moving Distance and Velocity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endParaRPr lang="en-US" sz="2400">
            <a:solidFill>
              <a:srgbClr val="0000CC"/>
            </a:solidFill>
            <a:latin typeface="Arial Rounded MT Bold" panose="020F07040305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9524</xdr:rowOff>
    </xdr:from>
    <xdr:to>
      <xdr:col>22</xdr:col>
      <xdr:colOff>677036</xdr:colOff>
      <xdr:row>35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9524" y="2019299"/>
          <a:ext cx="15755112" cy="6524626"/>
        </a:xfrm>
        <a:prstGeom prst="rect">
          <a:avLst/>
        </a:prstGeom>
        <a:solidFill>
          <a:schemeClr val="lt1"/>
        </a:solidFill>
        <a:ln w="19050" cmpd="sng">
          <a:solidFill>
            <a:srgbClr val="0000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0099"/>
              </a:solidFill>
              <a:latin typeface="+mn-lt"/>
            </a:rPr>
            <a:t>					</a:t>
          </a:r>
        </a:p>
        <a:p>
          <a:r>
            <a:rPr lang="en-US" sz="2400">
              <a:solidFill>
                <a:srgbClr val="000099"/>
              </a:solidFill>
              <a:latin typeface="Arial Rounded MT Bold" panose="020F0704030504030204" pitchFamily="34" charset="0"/>
            </a:rPr>
            <a:t>					I. Experimental Procedures</a:t>
          </a:r>
          <a:r>
            <a:rPr lang="en-US" sz="24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 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1.   Background</a:t>
          </a:r>
        </a:p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open field test (OFT) is commonly used for measuring exploratory behavior, general locomotor activity, and anxiety-related emotional behaviors. As rodents often show distinct aversions to large, brightly lit, open and unknown environments,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ncreased, anxiety-like behavior in a mouse when exposed to such envionments is displayed by more time spent in the outer zone(s), fewer enteries into the center zone, and overall less exploratory tendencies. 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2.  Experimental</a:t>
          </a:r>
          <a:r>
            <a:rPr lang="en-US" sz="18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</a:t>
          </a:r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Setup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EthoVision XT by Noldus was used to record, track, and analyze all videos. Three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zones, i.e., o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uter, intermediate, and center zones, were outlined using the software. The OFT chamber was a squared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chamber, 43x43x30 (cm3),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made of dark grey plastic.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Room temperature, humidity, lighting, and background noise were kept consistent thoughout the experiment. </a:t>
          </a:r>
          <a:endParaRPr lang="en-US" sz="14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3.  Procedures</a:t>
          </a:r>
        </a:p>
        <a:p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Mice were brought to the test room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 their home cage at least an hour before the test. Tests were begun by placing each mouse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the center of the open field chamber. Video recording began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three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seconds after the mouse was detected in the arena and continued for 30 minutes. Four mice (in four separated chambers)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were run at a time. When the test was finished, mice were removed and returned to their home cage. The open field chambers were wiped down after each trial with 70%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ethanol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cleaned with water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 eliminate odor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4.</a:t>
          </a:r>
          <a:r>
            <a:rPr lang="en-US" sz="18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 Data analysis</a:t>
          </a:r>
        </a:p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Total distance, average velocity, time spent in each zone, movement, and rearing were calculated. </a:t>
          </a:r>
        </a:p>
        <a:p>
          <a:endParaRPr lang="en-US" sz="1400" b="0" i="0" u="none" strike="noStrik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4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						II.   References</a:t>
          </a:r>
          <a:r>
            <a:rPr lang="en-US" sz="2400">
              <a:solidFill>
                <a:srgbClr val="000099"/>
              </a:solidFill>
              <a:latin typeface="Arial Rounded MT Bold" panose="020F0704030504030204" pitchFamily="34" charset="0"/>
            </a:rPr>
            <a:t> </a:t>
          </a:r>
        </a:p>
        <a:p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1.  Seibenhener ML, Wooten MC. Use of the Open Field Maze to Measure Locomotor and Anxiety-like Behavior in Mice. Journal of Visualized Experiments : JoVE. 2015;(96):52434. </a:t>
          </a:r>
        </a:p>
        <a:p>
          <a:endParaRPr lang="en-US" sz="1000" b="0">
            <a:latin typeface="Arial Rounded MT Bold" panose="020F0704030504030204" pitchFamily="34" charset="0"/>
            <a:cs typeface="Arial" panose="020B0604020202020204" pitchFamily="34" charset="0"/>
          </a:endParaRPr>
        </a:p>
        <a:p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2.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Todd D. Gould, David T. Dao, and Colleen E. Kovacsics. Chapter 1: The Open Field Test. Mood and Anxiety Related Phenotypes in Mice, characterization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using behavioral tests, </a:t>
          </a:r>
        </a:p>
        <a:p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    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Neuromethods Book Series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(Vol 42), 2009.     </a:t>
          </a:r>
        </a:p>
        <a:p>
          <a:endParaRPr lang="en-US" sz="1400" b="1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8"/>
  <sheetViews>
    <sheetView tabSelected="1" zoomScaleNormal="100" workbookViewId="0">
      <selection activeCell="A16" sqref="A16"/>
    </sheetView>
  </sheetViews>
  <sheetFormatPr defaultColWidth="9" defaultRowHeight="14.25" customHeight="1" x14ac:dyDescent="0.2"/>
  <cols>
    <col min="1" max="16384" width="9" style="2"/>
  </cols>
  <sheetData>
    <row r="1" spans="1:23" ht="170.1" customHeight="1" x14ac:dyDescent="0.2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9"/>
      <c r="V1" s="70"/>
      <c r="W1" s="71"/>
    </row>
    <row r="2" spans="1:23" ht="20.100000000000001" customHeight="1" x14ac:dyDescent="0.25">
      <c r="A2" s="208" t="s">
        <v>0</v>
      </c>
      <c r="B2" s="209"/>
      <c r="C2" s="209"/>
      <c r="D2" s="209"/>
      <c r="E2" s="209"/>
      <c r="F2" s="209"/>
      <c r="G2" s="210"/>
      <c r="H2" s="208" t="s">
        <v>1</v>
      </c>
      <c r="I2" s="209"/>
      <c r="J2" s="209"/>
      <c r="K2" s="209"/>
      <c r="L2" s="209"/>
      <c r="M2" s="209"/>
      <c r="N2" s="210"/>
      <c r="O2" s="208" t="s">
        <v>2</v>
      </c>
      <c r="P2" s="209"/>
      <c r="Q2" s="209"/>
      <c r="R2" s="209"/>
      <c r="S2" s="209"/>
      <c r="T2" s="209"/>
      <c r="U2" s="209"/>
      <c r="V2" s="209"/>
      <c r="W2" s="210"/>
    </row>
    <row r="3" spans="1:23" ht="14.25" customHeight="1" x14ac:dyDescent="0.2">
      <c r="A3" s="63" t="s">
        <v>3</v>
      </c>
      <c r="B3" s="64"/>
      <c r="C3" s="64"/>
      <c r="D3" s="65" t="s">
        <v>4</v>
      </c>
      <c r="E3" s="64"/>
      <c r="F3" s="64"/>
      <c r="G3" s="66"/>
      <c r="H3" s="3" t="s">
        <v>11</v>
      </c>
      <c r="I3" s="4"/>
      <c r="J3" s="4"/>
      <c r="K3" s="4" t="s">
        <v>12</v>
      </c>
      <c r="L3" s="4"/>
      <c r="M3" s="4"/>
      <c r="N3" s="6"/>
      <c r="O3" s="3" t="s">
        <v>25</v>
      </c>
      <c r="P3" s="4"/>
      <c r="Q3" s="4"/>
      <c r="R3" s="4"/>
      <c r="S3" s="4"/>
      <c r="T3" s="4"/>
      <c r="U3" s="4"/>
      <c r="V3" s="4"/>
      <c r="W3" s="6"/>
    </row>
    <row r="4" spans="1:23" ht="14.25" customHeight="1" x14ac:dyDescent="0.2">
      <c r="A4" s="3" t="s">
        <v>5</v>
      </c>
      <c r="B4" s="4"/>
      <c r="C4" s="4"/>
      <c r="D4" s="7">
        <v>0.5</v>
      </c>
      <c r="E4" s="4"/>
      <c r="F4" s="4"/>
      <c r="G4" s="6"/>
      <c r="H4" s="3" t="s">
        <v>13</v>
      </c>
      <c r="I4" s="4"/>
      <c r="J4" s="4"/>
      <c r="K4" s="4" t="s">
        <v>14</v>
      </c>
      <c r="L4" s="4"/>
      <c r="M4" s="4"/>
      <c r="N4" s="6"/>
      <c r="O4" s="3" t="s">
        <v>30</v>
      </c>
      <c r="P4" s="4"/>
      <c r="Q4" s="4"/>
      <c r="R4" s="4"/>
      <c r="S4" s="4"/>
      <c r="T4" s="4"/>
      <c r="U4" s="4"/>
      <c r="V4" s="4"/>
      <c r="W4" s="6"/>
    </row>
    <row r="5" spans="1:23" ht="14.25" customHeight="1" x14ac:dyDescent="0.2">
      <c r="A5" s="3" t="s">
        <v>6</v>
      </c>
      <c r="B5" s="4"/>
      <c r="C5" s="4"/>
      <c r="D5" s="5" t="s">
        <v>60</v>
      </c>
      <c r="E5" s="4"/>
      <c r="F5" s="4"/>
      <c r="G5" s="6"/>
      <c r="H5" s="3" t="s">
        <v>15</v>
      </c>
      <c r="I5" s="4"/>
      <c r="J5" s="4"/>
      <c r="K5" s="4" t="s">
        <v>16</v>
      </c>
      <c r="L5" s="4"/>
      <c r="M5" s="4"/>
      <c r="N5" s="6"/>
      <c r="O5" s="3"/>
      <c r="P5" s="4"/>
      <c r="Q5" s="4"/>
      <c r="R5" s="4"/>
      <c r="S5" s="4"/>
      <c r="T5" s="4"/>
      <c r="U5" s="4"/>
      <c r="V5" s="4"/>
      <c r="W5" s="6"/>
    </row>
    <row r="6" spans="1:23" ht="14.25" customHeight="1" x14ac:dyDescent="0.2">
      <c r="A6" s="3" t="s">
        <v>7</v>
      </c>
      <c r="B6" s="4"/>
      <c r="C6" s="4"/>
      <c r="D6" s="175" t="s">
        <v>72</v>
      </c>
      <c r="E6" s="4"/>
      <c r="F6" s="4"/>
      <c r="G6" s="6"/>
      <c r="H6" s="3"/>
      <c r="I6" s="4"/>
      <c r="J6" s="4"/>
      <c r="K6" s="4" t="s">
        <v>17</v>
      </c>
      <c r="L6" s="4"/>
      <c r="M6" s="4"/>
      <c r="N6" s="6"/>
      <c r="O6" s="3" t="s">
        <v>26</v>
      </c>
      <c r="P6" s="4"/>
      <c r="Q6" s="4"/>
      <c r="R6" s="4"/>
      <c r="S6" s="4"/>
      <c r="T6" s="4"/>
      <c r="U6" s="4"/>
      <c r="V6" s="4"/>
      <c r="W6" s="6"/>
    </row>
    <row r="7" spans="1:23" ht="14.25" customHeight="1" x14ac:dyDescent="0.2">
      <c r="A7" s="3" t="s">
        <v>8</v>
      </c>
      <c r="B7" s="4"/>
      <c r="C7" s="4"/>
      <c r="D7" s="5" t="s">
        <v>73</v>
      </c>
      <c r="E7" s="4"/>
      <c r="F7" s="4"/>
      <c r="G7" s="6"/>
      <c r="H7" s="3" t="s">
        <v>18</v>
      </c>
      <c r="I7" s="4"/>
      <c r="J7" s="4"/>
      <c r="K7" s="4" t="s">
        <v>19</v>
      </c>
      <c r="L7" s="4"/>
      <c r="M7" s="4"/>
      <c r="N7" s="6"/>
      <c r="O7" s="3" t="s">
        <v>61</v>
      </c>
      <c r="P7" s="4"/>
      <c r="Q7" s="4"/>
      <c r="R7" s="4"/>
      <c r="S7" s="4"/>
      <c r="T7" s="4"/>
      <c r="U7" s="4"/>
      <c r="V7" s="4"/>
      <c r="W7" s="6"/>
    </row>
    <row r="8" spans="1:23" ht="14.25" customHeight="1" x14ac:dyDescent="0.2">
      <c r="A8" s="3" t="s">
        <v>9</v>
      </c>
      <c r="B8" s="4"/>
      <c r="C8" s="4"/>
      <c r="D8" s="176" t="s">
        <v>75</v>
      </c>
      <c r="E8" s="4"/>
      <c r="F8" s="4"/>
      <c r="G8" s="6"/>
      <c r="H8" s="3" t="s">
        <v>20</v>
      </c>
      <c r="I8" s="4"/>
      <c r="J8" s="4"/>
      <c r="K8" s="4" t="s">
        <v>62</v>
      </c>
      <c r="L8" s="4"/>
      <c r="M8" s="4"/>
      <c r="N8" s="6"/>
      <c r="O8" s="3"/>
      <c r="P8" s="4"/>
      <c r="Q8" s="4"/>
      <c r="R8" s="4"/>
      <c r="S8" s="4"/>
      <c r="T8" s="4"/>
      <c r="U8" s="4"/>
      <c r="V8" s="4"/>
      <c r="W8" s="6"/>
    </row>
    <row r="9" spans="1:23" ht="14.25" customHeight="1" x14ac:dyDescent="0.2">
      <c r="A9" s="3"/>
      <c r="B9" s="4"/>
      <c r="C9" s="4"/>
      <c r="D9" s="176" t="s">
        <v>74</v>
      </c>
      <c r="E9" s="4"/>
      <c r="F9" s="4"/>
      <c r="G9" s="6"/>
      <c r="H9" s="3"/>
      <c r="I9" s="4"/>
      <c r="J9" s="4"/>
      <c r="K9" s="4" t="s">
        <v>21</v>
      </c>
      <c r="L9" s="4"/>
      <c r="M9" s="4"/>
      <c r="N9" s="6"/>
      <c r="O9" s="3" t="s">
        <v>27</v>
      </c>
      <c r="P9" s="4"/>
      <c r="Q9" s="4"/>
      <c r="R9" s="4"/>
      <c r="S9" s="4"/>
      <c r="T9" s="4"/>
      <c r="U9" s="4"/>
      <c r="V9" s="4"/>
      <c r="W9" s="6"/>
    </row>
    <row r="10" spans="1:23" ht="14.25" customHeight="1" x14ac:dyDescent="0.2">
      <c r="A10" s="178" t="s">
        <v>77</v>
      </c>
      <c r="B10" s="4"/>
      <c r="C10" s="4"/>
      <c r="D10" s="177" t="s">
        <v>76</v>
      </c>
      <c r="E10" s="176"/>
      <c r="F10" s="202"/>
      <c r="G10" s="6"/>
      <c r="H10" s="3" t="s">
        <v>22</v>
      </c>
      <c r="I10" s="4"/>
      <c r="J10" s="4"/>
      <c r="K10" s="4" t="s">
        <v>23</v>
      </c>
      <c r="L10" s="4"/>
      <c r="M10" s="4"/>
      <c r="N10" s="6"/>
      <c r="O10" s="3" t="s">
        <v>28</v>
      </c>
      <c r="P10" s="4"/>
      <c r="Q10" s="4"/>
      <c r="R10" s="4"/>
      <c r="S10" s="4"/>
      <c r="T10" s="4"/>
      <c r="U10" s="4"/>
      <c r="V10" s="4"/>
      <c r="W10" s="6"/>
    </row>
    <row r="11" spans="1:23" ht="14.25" customHeight="1" x14ac:dyDescent="0.2">
      <c r="A11" s="178" t="s">
        <v>78</v>
      </c>
      <c r="B11" s="4"/>
      <c r="C11" s="4"/>
      <c r="D11" s="177" t="s">
        <v>87</v>
      </c>
      <c r="E11" s="4"/>
      <c r="F11" s="202" t="s">
        <v>86</v>
      </c>
      <c r="G11" s="6"/>
      <c r="H11" s="3"/>
      <c r="I11" s="4"/>
      <c r="J11" s="4"/>
      <c r="K11" s="4" t="s">
        <v>24</v>
      </c>
      <c r="L11" s="4"/>
      <c r="M11" s="4"/>
      <c r="N11" s="6"/>
      <c r="O11" s="50" t="s">
        <v>71</v>
      </c>
      <c r="P11" s="4"/>
      <c r="Q11" s="4"/>
      <c r="R11" s="4"/>
      <c r="S11" s="4"/>
      <c r="T11" s="4"/>
      <c r="U11" s="4"/>
      <c r="V11" s="4"/>
      <c r="W11" s="6"/>
    </row>
    <row r="12" spans="1:23" ht="14.25" customHeight="1" x14ac:dyDescent="0.2">
      <c r="A12" s="3" t="s">
        <v>79</v>
      </c>
      <c r="B12" s="4"/>
      <c r="C12" s="4"/>
      <c r="D12" s="176" t="s">
        <v>67</v>
      </c>
      <c r="E12" s="176"/>
      <c r="F12" s="176"/>
      <c r="G12" s="6"/>
      <c r="H12" s="3"/>
      <c r="I12" s="4"/>
      <c r="J12" s="4"/>
      <c r="K12" s="4"/>
      <c r="L12" s="4"/>
      <c r="M12" s="4"/>
      <c r="N12" s="6"/>
      <c r="O12" s="3"/>
      <c r="P12" s="4"/>
      <c r="Q12" s="4"/>
      <c r="R12" s="4"/>
      <c r="S12" s="4"/>
      <c r="T12" s="4"/>
      <c r="U12" s="4"/>
      <c r="V12" s="4"/>
      <c r="W12" s="6"/>
    </row>
    <row r="13" spans="1:23" ht="14.25" customHeight="1" x14ac:dyDescent="0.2">
      <c r="A13" s="3" t="s">
        <v>85</v>
      </c>
      <c r="B13" s="4"/>
      <c r="C13" s="4"/>
      <c r="D13" s="4" t="s">
        <v>68</v>
      </c>
      <c r="E13" s="4"/>
      <c r="F13" s="4"/>
      <c r="G13" s="6"/>
      <c r="H13" s="3"/>
      <c r="I13" s="4"/>
      <c r="J13" s="4"/>
      <c r="K13" s="4"/>
      <c r="L13" s="4"/>
      <c r="M13" s="4"/>
      <c r="N13" s="6"/>
      <c r="O13" s="3" t="s">
        <v>29</v>
      </c>
      <c r="P13" s="4"/>
      <c r="Q13" s="4"/>
      <c r="R13" s="4"/>
      <c r="S13" s="4"/>
      <c r="T13" s="4"/>
      <c r="U13" s="4"/>
      <c r="V13" s="4"/>
      <c r="W13" s="6"/>
    </row>
    <row r="14" spans="1:23" ht="14.25" customHeight="1" x14ac:dyDescent="0.2">
      <c r="A14" s="3" t="s">
        <v>80</v>
      </c>
      <c r="B14" s="4"/>
      <c r="C14" s="4"/>
      <c r="D14" s="4" t="s">
        <v>10</v>
      </c>
      <c r="E14" s="4"/>
      <c r="F14" s="4"/>
      <c r="G14" s="6"/>
      <c r="H14" s="3"/>
      <c r="I14" s="4"/>
      <c r="J14" s="4"/>
      <c r="K14" s="4"/>
      <c r="L14" s="4"/>
      <c r="M14" s="4"/>
      <c r="N14" s="6"/>
      <c r="O14" s="3" t="s">
        <v>90</v>
      </c>
      <c r="P14" s="4"/>
      <c r="Q14" s="4"/>
      <c r="R14" s="4"/>
      <c r="S14" s="4"/>
      <c r="T14" s="4"/>
      <c r="U14" s="4"/>
      <c r="V14" s="4"/>
      <c r="W14" s="6"/>
    </row>
    <row r="15" spans="1:23" ht="14.25" customHeight="1" x14ac:dyDescent="0.2">
      <c r="A15" s="8" t="s">
        <v>81</v>
      </c>
      <c r="B15" s="9"/>
      <c r="C15" s="9"/>
      <c r="D15" s="9" t="s">
        <v>69</v>
      </c>
      <c r="E15" s="9"/>
      <c r="F15" s="9"/>
      <c r="G15" s="10"/>
      <c r="H15" s="8"/>
      <c r="I15" s="9"/>
      <c r="J15" s="9"/>
      <c r="K15" s="9"/>
      <c r="L15" s="9"/>
      <c r="M15" s="9"/>
      <c r="N15" s="10"/>
      <c r="O15" s="8"/>
      <c r="P15" s="9"/>
      <c r="Q15" s="9"/>
      <c r="R15" s="9"/>
      <c r="S15" s="9"/>
      <c r="T15" s="9"/>
      <c r="U15" s="9"/>
      <c r="V15" s="9"/>
      <c r="W15" s="10"/>
    </row>
    <row r="17" spans="1:23" ht="14.25" customHeight="1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</row>
    <row r="18" spans="1:23" ht="14.25" customHeight="1" x14ac:dyDescent="0.2">
      <c r="A18" s="7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9"/>
    </row>
    <row r="19" spans="1:23" x14ac:dyDescent="0.2">
      <c r="A19" s="213" t="s">
        <v>89</v>
      </c>
      <c r="B19" s="213"/>
      <c r="C19" s="213"/>
      <c r="D19" s="213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9"/>
    </row>
    <row r="20" spans="1:23" ht="14.25" customHeight="1" x14ac:dyDescent="0.2">
      <c r="A20" s="214"/>
      <c r="B20" s="214"/>
      <c r="C20" s="214"/>
      <c r="D20" s="214"/>
      <c r="E20" s="17"/>
      <c r="F20" s="17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9"/>
    </row>
    <row r="21" spans="1:23" ht="14.25" customHeight="1" x14ac:dyDescent="0.2">
      <c r="A21" s="20"/>
      <c r="B21" s="21"/>
      <c r="C21" s="21"/>
      <c r="D21" s="22"/>
      <c r="E21" s="211" t="s">
        <v>31</v>
      </c>
      <c r="F21" s="212"/>
      <c r="G21" s="211" t="s">
        <v>32</v>
      </c>
      <c r="H21" s="212"/>
      <c r="I21" s="211" t="s">
        <v>33</v>
      </c>
      <c r="J21" s="212"/>
      <c r="K21" s="211" t="s">
        <v>34</v>
      </c>
      <c r="L21" s="212"/>
      <c r="M21" s="211" t="s">
        <v>35</v>
      </c>
      <c r="N21" s="212"/>
      <c r="O21" s="211" t="s">
        <v>36</v>
      </c>
      <c r="P21" s="212"/>
      <c r="Q21" s="211" t="s">
        <v>37</v>
      </c>
      <c r="R21" s="212"/>
      <c r="S21" s="17"/>
      <c r="T21" s="17"/>
      <c r="U21" s="17"/>
      <c r="V21" s="17"/>
      <c r="W21" s="19"/>
    </row>
    <row r="22" spans="1:23" ht="14.25" customHeight="1" x14ac:dyDescent="0.2">
      <c r="A22" s="23"/>
      <c r="B22" s="24"/>
      <c r="C22" s="24"/>
      <c r="D22" s="25"/>
      <c r="E22" s="26" t="s">
        <v>38</v>
      </c>
      <c r="F22" s="46" t="s">
        <v>39</v>
      </c>
      <c r="G22" s="26" t="s">
        <v>38</v>
      </c>
      <c r="H22" s="47" t="s">
        <v>39</v>
      </c>
      <c r="I22" s="48" t="s">
        <v>38</v>
      </c>
      <c r="J22" s="46" t="s">
        <v>39</v>
      </c>
      <c r="K22" s="26" t="s">
        <v>38</v>
      </c>
      <c r="L22" s="47" t="s">
        <v>39</v>
      </c>
      <c r="M22" s="26" t="s">
        <v>38</v>
      </c>
      <c r="N22" s="47" t="s">
        <v>39</v>
      </c>
      <c r="O22" s="26" t="s">
        <v>38</v>
      </c>
      <c r="P22" s="47" t="s">
        <v>39</v>
      </c>
      <c r="Q22" s="26" t="s">
        <v>38</v>
      </c>
      <c r="R22" s="47" t="s">
        <v>39</v>
      </c>
      <c r="S22" s="17"/>
      <c r="T22" s="17"/>
      <c r="U22" s="17"/>
      <c r="V22" s="17"/>
      <c r="W22" s="19"/>
    </row>
    <row r="23" spans="1:23" ht="14.25" customHeight="1" x14ac:dyDescent="0.25">
      <c r="A23" s="29"/>
      <c r="B23" s="30" t="s">
        <v>40</v>
      </c>
      <c r="C23" s="30" t="s">
        <v>41</v>
      </c>
      <c r="D23" s="31" t="s">
        <v>42</v>
      </c>
      <c r="E23" s="32" t="s">
        <v>43</v>
      </c>
      <c r="F23" s="33" t="s">
        <v>44</v>
      </c>
      <c r="G23" s="32" t="s">
        <v>43</v>
      </c>
      <c r="H23" s="32" t="s">
        <v>44</v>
      </c>
      <c r="I23" s="49" t="s">
        <v>43</v>
      </c>
      <c r="J23" s="33" t="s">
        <v>44</v>
      </c>
      <c r="K23" s="32" t="s">
        <v>43</v>
      </c>
      <c r="L23" s="32" t="s">
        <v>44</v>
      </c>
      <c r="M23" s="32" t="s">
        <v>43</v>
      </c>
      <c r="N23" s="32" t="s">
        <v>44</v>
      </c>
      <c r="O23" s="32" t="s">
        <v>43</v>
      </c>
      <c r="P23" s="32" t="s">
        <v>44</v>
      </c>
      <c r="Q23" s="32" t="s">
        <v>43</v>
      </c>
      <c r="R23" s="32" t="s">
        <v>44</v>
      </c>
      <c r="S23" s="17"/>
      <c r="T23" s="17"/>
      <c r="U23" s="17"/>
      <c r="V23" s="17"/>
      <c r="W23" s="19"/>
    </row>
    <row r="24" spans="1:23" ht="14.25" customHeight="1" x14ac:dyDescent="0.2">
      <c r="A24" s="34" t="s">
        <v>45</v>
      </c>
      <c r="B24" s="73">
        <v>1</v>
      </c>
      <c r="C24" s="74" t="s">
        <v>88</v>
      </c>
      <c r="D24" s="179">
        <v>5997</v>
      </c>
      <c r="E24" s="75">
        <v>1.4888699999999999</v>
      </c>
      <c r="F24" s="76">
        <v>4</v>
      </c>
      <c r="G24" s="75">
        <v>0.44444</v>
      </c>
      <c r="H24" s="76">
        <v>1</v>
      </c>
      <c r="I24" s="77">
        <v>3.0444100000000001</v>
      </c>
      <c r="J24" s="78">
        <v>3</v>
      </c>
      <c r="K24" s="75">
        <v>6.7221500000000001</v>
      </c>
      <c r="L24" s="76">
        <v>5</v>
      </c>
      <c r="M24" s="77">
        <v>0</v>
      </c>
      <c r="N24" s="78">
        <v>0</v>
      </c>
      <c r="O24" s="75">
        <v>0</v>
      </c>
      <c r="P24" s="78">
        <v>0</v>
      </c>
      <c r="Q24" s="75">
        <f>AVERAGE(E24,G24,I24,K24,M24,O24)</f>
        <v>1.9499783333333334</v>
      </c>
      <c r="R24" s="76">
        <f>SUM(F24,H24,J24,L24,N24,P24)</f>
        <v>13</v>
      </c>
      <c r="S24" s="17"/>
      <c r="T24" s="17"/>
      <c r="U24" s="17"/>
      <c r="V24" s="17"/>
      <c r="W24" s="19"/>
    </row>
    <row r="25" spans="1:23" ht="14.25" customHeight="1" x14ac:dyDescent="0.2">
      <c r="A25" s="204" t="s">
        <v>83</v>
      </c>
      <c r="B25" s="79">
        <v>2</v>
      </c>
      <c r="C25" s="74" t="s">
        <v>88</v>
      </c>
      <c r="D25" s="179">
        <v>5998</v>
      </c>
      <c r="E25" s="80">
        <v>3.0110800000000002</v>
      </c>
      <c r="F25" s="81">
        <v>5</v>
      </c>
      <c r="G25" s="80">
        <v>1.5555399999999999</v>
      </c>
      <c r="H25" s="81">
        <v>3</v>
      </c>
      <c r="I25" s="82">
        <v>1.2444299999999999</v>
      </c>
      <c r="J25" s="83">
        <v>2</v>
      </c>
      <c r="K25" s="80">
        <v>4.8666200000000002</v>
      </c>
      <c r="L25" s="81">
        <v>4</v>
      </c>
      <c r="M25" s="82">
        <v>0.88888</v>
      </c>
      <c r="N25" s="83">
        <v>2</v>
      </c>
      <c r="O25" s="80">
        <v>3.2999700000000001</v>
      </c>
      <c r="P25" s="83">
        <v>5</v>
      </c>
      <c r="Q25" s="80">
        <f t="shared" ref="Q25:Q27" si="0">AVERAGE(E25,G25,I25,K25,M25,O25)</f>
        <v>2.4777533333333333</v>
      </c>
      <c r="R25" s="81">
        <f t="shared" ref="R25:R27" si="1">SUM(F25,H25,J25,L25,N25,P25)</f>
        <v>21</v>
      </c>
      <c r="S25" s="17"/>
      <c r="T25" s="17"/>
      <c r="U25" s="17"/>
      <c r="V25" s="17"/>
      <c r="W25" s="19"/>
    </row>
    <row r="26" spans="1:23" ht="14.25" customHeight="1" x14ac:dyDescent="0.2">
      <c r="A26" s="204"/>
      <c r="B26" s="79">
        <v>3</v>
      </c>
      <c r="C26" s="74" t="s">
        <v>88</v>
      </c>
      <c r="D26" s="179">
        <v>5999</v>
      </c>
      <c r="E26" s="80">
        <v>4.9888399999999997</v>
      </c>
      <c r="F26" s="81">
        <v>6</v>
      </c>
      <c r="G26" s="80">
        <v>0.44444</v>
      </c>
      <c r="H26" s="81">
        <v>1</v>
      </c>
      <c r="I26" s="82">
        <v>7.7665899999999999</v>
      </c>
      <c r="J26" s="83">
        <v>6</v>
      </c>
      <c r="K26" s="80">
        <v>2.0333100000000002</v>
      </c>
      <c r="L26" s="81">
        <v>4</v>
      </c>
      <c r="M26" s="82">
        <v>4.0110700000000001</v>
      </c>
      <c r="N26" s="83">
        <v>7</v>
      </c>
      <c r="O26" s="80">
        <v>3.6999599999999999</v>
      </c>
      <c r="P26" s="83">
        <v>1</v>
      </c>
      <c r="Q26" s="80">
        <f t="shared" si="0"/>
        <v>3.8240350000000003</v>
      </c>
      <c r="R26" s="81">
        <f t="shared" si="1"/>
        <v>25</v>
      </c>
      <c r="S26" s="17"/>
      <c r="T26" s="17"/>
      <c r="U26" s="17"/>
      <c r="V26" s="17"/>
      <c r="W26" s="19"/>
    </row>
    <row r="27" spans="1:23" ht="14.25" customHeight="1" x14ac:dyDescent="0.2">
      <c r="A27" s="35"/>
      <c r="B27" s="79">
        <v>4</v>
      </c>
      <c r="C27" s="74" t="s">
        <v>88</v>
      </c>
      <c r="D27" s="179">
        <v>6000</v>
      </c>
      <c r="E27" s="80">
        <v>5.1888399999999999</v>
      </c>
      <c r="F27" s="81">
        <v>9</v>
      </c>
      <c r="G27" s="80">
        <v>16.024100000000001</v>
      </c>
      <c r="H27" s="81">
        <v>12</v>
      </c>
      <c r="I27" s="82">
        <v>12.942299999999999</v>
      </c>
      <c r="J27" s="83">
        <v>14</v>
      </c>
      <c r="K27" s="80">
        <v>8.7554700000000008</v>
      </c>
      <c r="L27" s="81">
        <v>10</v>
      </c>
      <c r="M27" s="82">
        <v>8.0221400000000003</v>
      </c>
      <c r="N27" s="83">
        <v>12</v>
      </c>
      <c r="O27" s="80">
        <v>0.57777199999999995</v>
      </c>
      <c r="P27" s="83">
        <v>3</v>
      </c>
      <c r="Q27" s="80">
        <f t="shared" si="0"/>
        <v>8.5851036666666669</v>
      </c>
      <c r="R27" s="81">
        <f t="shared" si="1"/>
        <v>60</v>
      </c>
      <c r="S27" s="17"/>
      <c r="T27" s="17"/>
      <c r="U27" s="17"/>
      <c r="V27" s="17"/>
      <c r="W27" s="19"/>
    </row>
    <row r="28" spans="1:23" ht="14.25" customHeight="1" x14ac:dyDescent="0.2">
      <c r="A28" s="35"/>
      <c r="B28" s="79">
        <v>5</v>
      </c>
      <c r="C28" s="74"/>
      <c r="D28" s="179"/>
      <c r="E28" s="80"/>
      <c r="F28" s="81"/>
      <c r="G28" s="80"/>
      <c r="H28" s="81"/>
      <c r="I28" s="82"/>
      <c r="J28" s="83"/>
      <c r="K28" s="80"/>
      <c r="L28" s="81"/>
      <c r="M28" s="82"/>
      <c r="N28" s="83"/>
      <c r="O28" s="80"/>
      <c r="P28" s="83"/>
      <c r="Q28" s="80"/>
      <c r="R28" s="81"/>
      <c r="S28" s="17"/>
      <c r="T28" s="17"/>
      <c r="U28" s="17"/>
      <c r="V28" s="17"/>
      <c r="W28" s="19"/>
    </row>
    <row r="29" spans="1:23" ht="14.25" customHeight="1" x14ac:dyDescent="0.2">
      <c r="A29" s="35"/>
      <c r="B29" s="79">
        <v>6</v>
      </c>
      <c r="C29" s="74"/>
      <c r="D29" s="179"/>
      <c r="E29" s="80"/>
      <c r="F29" s="81"/>
      <c r="G29" s="80"/>
      <c r="H29" s="81"/>
      <c r="I29" s="82"/>
      <c r="J29" s="83"/>
      <c r="K29" s="80"/>
      <c r="L29" s="81"/>
      <c r="M29" s="82"/>
      <c r="N29" s="83"/>
      <c r="O29" s="80"/>
      <c r="P29" s="83"/>
      <c r="Q29" s="80"/>
      <c r="R29" s="81"/>
      <c r="S29" s="17"/>
      <c r="T29" s="17"/>
      <c r="U29" s="17"/>
      <c r="V29" s="17"/>
      <c r="W29" s="19"/>
    </row>
    <row r="30" spans="1:23" ht="14.25" customHeight="1" x14ac:dyDescent="0.2">
      <c r="A30" s="35"/>
      <c r="B30" s="79">
        <v>7</v>
      </c>
      <c r="C30" s="74"/>
      <c r="D30" s="189"/>
      <c r="E30" s="80"/>
      <c r="F30" s="81"/>
      <c r="G30" s="80"/>
      <c r="H30" s="81"/>
      <c r="I30" s="82"/>
      <c r="J30" s="83"/>
      <c r="K30" s="80"/>
      <c r="L30" s="81"/>
      <c r="M30" s="82"/>
      <c r="N30" s="83"/>
      <c r="O30" s="80"/>
      <c r="P30" s="81"/>
      <c r="Q30" s="80"/>
      <c r="R30" s="81"/>
      <c r="S30" s="17"/>
      <c r="T30" s="17"/>
      <c r="U30" s="17"/>
      <c r="V30" s="17"/>
      <c r="W30" s="19"/>
    </row>
    <row r="31" spans="1:23" ht="14.25" customHeight="1" x14ac:dyDescent="0.2">
      <c r="A31" s="35"/>
      <c r="B31" s="79">
        <v>8</v>
      </c>
      <c r="C31" s="74"/>
      <c r="D31" s="189"/>
      <c r="E31" s="80"/>
      <c r="F31" s="81"/>
      <c r="G31" s="80"/>
      <c r="H31" s="86"/>
      <c r="I31" s="82"/>
      <c r="J31" s="83"/>
      <c r="K31" s="80"/>
      <c r="L31" s="81"/>
      <c r="M31" s="82"/>
      <c r="N31" s="83"/>
      <c r="O31" s="80"/>
      <c r="P31" s="81"/>
      <c r="Q31" s="80"/>
      <c r="R31" s="81"/>
      <c r="S31" s="17"/>
      <c r="T31" s="17"/>
      <c r="U31" s="17"/>
      <c r="V31" s="17"/>
      <c r="W31" s="19"/>
    </row>
    <row r="32" spans="1:23" ht="14.25" customHeight="1" x14ac:dyDescent="0.2">
      <c r="A32" s="35"/>
      <c r="B32" s="79">
        <v>9</v>
      </c>
      <c r="C32" s="84"/>
      <c r="D32" s="85"/>
      <c r="E32" s="80"/>
      <c r="F32" s="86"/>
      <c r="G32" s="80"/>
      <c r="H32" s="86"/>
      <c r="I32" s="82"/>
      <c r="J32" s="82"/>
      <c r="K32" s="80"/>
      <c r="L32" s="86"/>
      <c r="M32" s="82"/>
      <c r="N32" s="82"/>
      <c r="O32" s="80"/>
      <c r="P32" s="86"/>
      <c r="Q32" s="87"/>
      <c r="R32" s="88"/>
      <c r="S32" s="17"/>
      <c r="T32" s="17"/>
      <c r="U32" s="17"/>
      <c r="V32" s="17"/>
      <c r="W32" s="19"/>
    </row>
    <row r="33" spans="1:23" ht="14.25" customHeight="1" x14ac:dyDescent="0.2">
      <c r="A33" s="35"/>
      <c r="B33" s="190">
        <v>10</v>
      </c>
      <c r="C33" s="191"/>
      <c r="D33" s="192"/>
      <c r="E33" s="80"/>
      <c r="F33" s="86"/>
      <c r="G33" s="89"/>
      <c r="H33" s="90"/>
      <c r="I33" s="82"/>
      <c r="J33" s="82"/>
      <c r="K33" s="89"/>
      <c r="L33" s="90"/>
      <c r="M33" s="82"/>
      <c r="N33" s="82"/>
      <c r="O33" s="89"/>
      <c r="P33" s="90"/>
      <c r="Q33" s="91"/>
      <c r="R33" s="92"/>
      <c r="S33" s="17"/>
      <c r="T33" s="17"/>
      <c r="U33" s="17"/>
      <c r="V33" s="17"/>
      <c r="W33" s="19"/>
    </row>
    <row r="34" spans="1:23" ht="14.25" customHeight="1" x14ac:dyDescent="0.2">
      <c r="A34" s="93"/>
      <c r="B34" s="94"/>
      <c r="C34" s="94"/>
      <c r="D34" s="73" t="s">
        <v>46</v>
      </c>
      <c r="E34" s="95">
        <f>AVERAGE(E24:E33)</f>
        <v>3.6694075000000002</v>
      </c>
      <c r="F34" s="96">
        <f t="shared" ref="F34:R34" si="2">AVERAGE(F24:F33)</f>
        <v>6</v>
      </c>
      <c r="G34" s="97">
        <f t="shared" si="2"/>
        <v>4.6171300000000004</v>
      </c>
      <c r="H34" s="98">
        <f t="shared" si="2"/>
        <v>4.25</v>
      </c>
      <c r="I34" s="99">
        <f t="shared" si="2"/>
        <v>6.2494325000000002</v>
      </c>
      <c r="J34" s="99">
        <f t="shared" si="2"/>
        <v>6.25</v>
      </c>
      <c r="K34" s="97">
        <f t="shared" si="2"/>
        <v>5.5943874999999998</v>
      </c>
      <c r="L34" s="98">
        <f t="shared" si="2"/>
        <v>5.75</v>
      </c>
      <c r="M34" s="99">
        <f t="shared" si="2"/>
        <v>3.2305225000000002</v>
      </c>
      <c r="N34" s="99">
        <f t="shared" si="2"/>
        <v>5.25</v>
      </c>
      <c r="O34" s="97">
        <f t="shared" si="2"/>
        <v>1.8944255000000001</v>
      </c>
      <c r="P34" s="98">
        <f t="shared" si="2"/>
        <v>2.25</v>
      </c>
      <c r="Q34" s="100">
        <f t="shared" si="2"/>
        <v>4.2092175833333334</v>
      </c>
      <c r="R34" s="98">
        <f t="shared" si="2"/>
        <v>29.75</v>
      </c>
      <c r="S34" s="17"/>
      <c r="T34" s="17"/>
      <c r="U34" s="17"/>
      <c r="V34" s="17"/>
      <c r="W34" s="19"/>
    </row>
    <row r="35" spans="1:23" ht="14.25" customHeight="1" x14ac:dyDescent="0.2">
      <c r="A35" s="93"/>
      <c r="B35" s="94"/>
      <c r="C35" s="94"/>
      <c r="D35" s="73" t="s">
        <v>47</v>
      </c>
      <c r="E35" s="101">
        <f>STDEV(E24:E33)/SQRT(COUNT(E24:E33))</f>
        <v>0.87738798574115195</v>
      </c>
      <c r="F35" s="102">
        <f t="shared" ref="F35:R35" si="3">STDEV(F24:F33)/SQRT(COUNT(F24:F33))</f>
        <v>1.0801234497346435</v>
      </c>
      <c r="G35" s="101">
        <f t="shared" si="3"/>
        <v>3.8113315868735427</v>
      </c>
      <c r="H35" s="102">
        <f t="shared" si="3"/>
        <v>2.6259918760981216</v>
      </c>
      <c r="I35" s="103">
        <f t="shared" si="3"/>
        <v>2.6207260683328926</v>
      </c>
      <c r="J35" s="103">
        <f t="shared" si="3"/>
        <v>2.7195281453467866</v>
      </c>
      <c r="K35" s="101">
        <f t="shared" si="3"/>
        <v>1.428145922845276</v>
      </c>
      <c r="L35" s="102">
        <f t="shared" si="3"/>
        <v>1.4361406616345072</v>
      </c>
      <c r="M35" s="103">
        <f t="shared" si="3"/>
        <v>1.8140290765511222</v>
      </c>
      <c r="N35" s="103">
        <f t="shared" si="3"/>
        <v>2.6887109674836132</v>
      </c>
      <c r="O35" s="101">
        <f t="shared" si="3"/>
        <v>0.93799140837762984</v>
      </c>
      <c r="P35" s="102">
        <f t="shared" si="3"/>
        <v>1.1086778913041726</v>
      </c>
      <c r="Q35" s="103">
        <f t="shared" si="3"/>
        <v>1.5110392415647336</v>
      </c>
      <c r="R35" s="102">
        <f t="shared" si="3"/>
        <v>10.387291915284433</v>
      </c>
      <c r="S35" s="17"/>
      <c r="T35" s="17"/>
      <c r="U35" s="17"/>
      <c r="V35" s="17"/>
      <c r="W35" s="19"/>
    </row>
    <row r="36" spans="1:23" ht="14.25" customHeight="1" x14ac:dyDescent="0.2">
      <c r="A36" s="36" t="s">
        <v>48</v>
      </c>
      <c r="B36" s="37">
        <v>1</v>
      </c>
      <c r="C36" s="104" t="s">
        <v>84</v>
      </c>
      <c r="D36" s="180">
        <v>792</v>
      </c>
      <c r="E36" s="82">
        <v>2.9777499999999999</v>
      </c>
      <c r="F36" s="81">
        <v>6</v>
      </c>
      <c r="G36" s="203">
        <v>6.0443800000000003</v>
      </c>
      <c r="H36" s="106">
        <v>6</v>
      </c>
      <c r="I36" s="82">
        <v>7.74437</v>
      </c>
      <c r="J36" s="83">
        <v>6</v>
      </c>
      <c r="K36" s="80">
        <v>9.8665699999999994</v>
      </c>
      <c r="L36" s="81">
        <v>8</v>
      </c>
      <c r="M36" s="82">
        <v>15.138199999999999</v>
      </c>
      <c r="N36" s="83">
        <v>11</v>
      </c>
      <c r="O36" s="80">
        <v>11.0616</v>
      </c>
      <c r="P36" s="81">
        <v>13</v>
      </c>
      <c r="Q36" s="80">
        <f t="shared" ref="Q36" si="4">AVERAGE(E36,G36,I36,K36,M36,O36)</f>
        <v>8.8054783333333333</v>
      </c>
      <c r="R36" s="81">
        <f t="shared" ref="R36" si="5">SUM(F36,H36,J36,L36,N36,P36)</f>
        <v>50</v>
      </c>
      <c r="S36" s="17"/>
      <c r="T36" s="17"/>
      <c r="U36" s="17"/>
      <c r="V36" s="17"/>
      <c r="W36" s="19"/>
    </row>
    <row r="37" spans="1:23" ht="14.25" customHeight="1" x14ac:dyDescent="0.2">
      <c r="A37" s="205" t="s">
        <v>82</v>
      </c>
      <c r="B37" s="39">
        <v>2</v>
      </c>
      <c r="C37" s="105" t="s">
        <v>84</v>
      </c>
      <c r="D37" s="181">
        <v>793</v>
      </c>
      <c r="E37" s="82">
        <v>6.4665999999999997</v>
      </c>
      <c r="F37" s="81">
        <v>14</v>
      </c>
      <c r="G37" s="203">
        <v>9.1685700000000008</v>
      </c>
      <c r="H37" s="106">
        <v>18</v>
      </c>
      <c r="I37" s="82">
        <v>14.009</v>
      </c>
      <c r="J37" s="83">
        <v>21</v>
      </c>
      <c r="K37" s="80">
        <v>8.2372499999999995</v>
      </c>
      <c r="L37" s="81">
        <v>15</v>
      </c>
      <c r="M37" s="82">
        <v>5.2403899999999997</v>
      </c>
      <c r="N37" s="83">
        <v>11</v>
      </c>
      <c r="O37" s="80">
        <v>3.2999700000000001</v>
      </c>
      <c r="P37" s="81">
        <v>11</v>
      </c>
      <c r="Q37" s="80">
        <f t="shared" ref="Q37:Q38" si="6">AVERAGE(E37,G37,I37,K37,M37,O37)</f>
        <v>7.7369633333333345</v>
      </c>
      <c r="R37" s="81">
        <f t="shared" ref="R37:R38" si="7">SUM(F37,H37,J37,L37,N37,P37)</f>
        <v>90</v>
      </c>
      <c r="S37" s="17"/>
      <c r="T37" s="17"/>
      <c r="U37" s="17"/>
      <c r="V37" s="17"/>
      <c r="W37" s="19"/>
    </row>
    <row r="38" spans="1:23" ht="14.25" customHeight="1" x14ac:dyDescent="0.2">
      <c r="A38" s="205"/>
      <c r="B38" s="39">
        <v>3</v>
      </c>
      <c r="C38" s="105" t="s">
        <v>84</v>
      </c>
      <c r="D38" s="181">
        <v>794</v>
      </c>
      <c r="E38" s="82">
        <v>0</v>
      </c>
      <c r="F38" s="81">
        <v>0</v>
      </c>
      <c r="G38" s="80">
        <v>9.9999000000000005E-2</v>
      </c>
      <c r="H38" s="81">
        <v>1</v>
      </c>
      <c r="I38" s="82">
        <v>0</v>
      </c>
      <c r="J38" s="83">
        <v>0</v>
      </c>
      <c r="K38" s="80">
        <v>0</v>
      </c>
      <c r="L38" s="81">
        <v>0</v>
      </c>
      <c r="M38" s="82">
        <v>0</v>
      </c>
      <c r="N38" s="83">
        <v>0</v>
      </c>
      <c r="O38" s="80">
        <v>0</v>
      </c>
      <c r="P38" s="81">
        <v>0</v>
      </c>
      <c r="Q38" s="80">
        <f t="shared" si="6"/>
        <v>1.6666500000000001E-2</v>
      </c>
      <c r="R38" s="81">
        <f t="shared" si="7"/>
        <v>1</v>
      </c>
      <c r="S38" s="17"/>
      <c r="T38" s="17"/>
      <c r="U38" s="17"/>
      <c r="V38" s="17"/>
      <c r="W38" s="19"/>
    </row>
    <row r="39" spans="1:23" ht="14.25" customHeight="1" x14ac:dyDescent="0.2">
      <c r="A39" s="38"/>
      <c r="B39" s="39">
        <v>4</v>
      </c>
      <c r="C39" s="105" t="s">
        <v>84</v>
      </c>
      <c r="D39" s="181">
        <v>795</v>
      </c>
      <c r="E39" s="82">
        <v>1.9888699999999999</v>
      </c>
      <c r="F39" s="81">
        <v>5</v>
      </c>
      <c r="G39" s="203">
        <v>3.5221900000000002</v>
      </c>
      <c r="H39" s="106">
        <v>6</v>
      </c>
      <c r="I39" s="82">
        <v>2.2444199999999999</v>
      </c>
      <c r="J39" s="83">
        <v>5</v>
      </c>
      <c r="K39" s="80">
        <v>0.56666099999999997</v>
      </c>
      <c r="L39" s="81">
        <v>1</v>
      </c>
      <c r="M39" s="82">
        <v>2.1888700000000001</v>
      </c>
      <c r="N39" s="83">
        <v>4</v>
      </c>
      <c r="O39" s="80">
        <v>0.72221500000000005</v>
      </c>
      <c r="P39" s="81">
        <v>2</v>
      </c>
      <c r="Q39" s="80">
        <f t="shared" ref="Q39" si="8">AVERAGE(E39,G39,I39,K39,M39,O39)</f>
        <v>1.8722043333333334</v>
      </c>
      <c r="R39" s="81">
        <f t="shared" ref="R39" si="9">SUM(F39,H39,J39,L39,N39,P39)</f>
        <v>23</v>
      </c>
      <c r="S39" s="17"/>
      <c r="T39" s="17"/>
      <c r="U39" s="17"/>
      <c r="V39" s="17"/>
      <c r="W39" s="19"/>
    </row>
    <row r="40" spans="1:23" ht="14.25" customHeight="1" x14ac:dyDescent="0.2">
      <c r="A40" s="38"/>
      <c r="B40" s="39">
        <v>5</v>
      </c>
      <c r="C40" s="105"/>
      <c r="D40" s="181"/>
      <c r="E40" s="107"/>
      <c r="F40" s="108"/>
      <c r="G40" s="109"/>
      <c r="H40" s="108"/>
      <c r="I40" s="107"/>
      <c r="J40" s="110"/>
      <c r="K40" s="109"/>
      <c r="L40" s="108"/>
      <c r="M40" s="107"/>
      <c r="N40" s="110"/>
      <c r="O40" s="109"/>
      <c r="P40" s="108"/>
      <c r="Q40" s="80"/>
      <c r="R40" s="81"/>
      <c r="S40" s="17"/>
      <c r="T40" s="17"/>
      <c r="U40" s="17"/>
      <c r="V40" s="17"/>
      <c r="W40" s="19"/>
    </row>
    <row r="41" spans="1:23" ht="14.25" customHeight="1" x14ac:dyDescent="0.2">
      <c r="A41" s="38"/>
      <c r="B41" s="39">
        <v>6</v>
      </c>
      <c r="C41" s="105"/>
      <c r="D41" s="181"/>
      <c r="E41" s="107"/>
      <c r="F41" s="108"/>
      <c r="G41" s="109"/>
      <c r="H41" s="108"/>
      <c r="I41" s="107"/>
      <c r="J41" s="110"/>
      <c r="K41" s="109"/>
      <c r="L41" s="108"/>
      <c r="M41" s="107"/>
      <c r="N41" s="110"/>
      <c r="O41" s="109"/>
      <c r="P41" s="108"/>
      <c r="Q41" s="80"/>
      <c r="R41" s="81"/>
      <c r="S41" s="17"/>
      <c r="T41" s="17"/>
      <c r="U41" s="17"/>
      <c r="V41" s="17"/>
      <c r="W41" s="19"/>
    </row>
    <row r="42" spans="1:23" ht="14.25" customHeight="1" x14ac:dyDescent="0.2">
      <c r="A42" s="38"/>
      <c r="B42" s="39">
        <v>7</v>
      </c>
      <c r="C42" s="105"/>
      <c r="D42" s="188"/>
      <c r="E42" s="109"/>
      <c r="F42" s="108"/>
      <c r="G42" s="109"/>
      <c r="H42" s="108"/>
      <c r="I42" s="107"/>
      <c r="J42" s="110"/>
      <c r="K42" s="109"/>
      <c r="L42" s="108"/>
      <c r="M42" s="107"/>
      <c r="N42" s="110"/>
      <c r="O42" s="109"/>
      <c r="P42" s="108"/>
      <c r="Q42" s="80"/>
      <c r="R42" s="81"/>
      <c r="S42" s="17"/>
      <c r="T42" s="17"/>
      <c r="U42" s="17"/>
      <c r="V42" s="17"/>
      <c r="W42" s="19"/>
    </row>
    <row r="43" spans="1:23" ht="14.25" customHeight="1" x14ac:dyDescent="0.2">
      <c r="A43" s="38"/>
      <c r="B43" s="39">
        <v>8</v>
      </c>
      <c r="C43" s="105"/>
      <c r="D43" s="188"/>
      <c r="E43" s="109"/>
      <c r="F43" s="108"/>
      <c r="G43" s="109"/>
      <c r="H43" s="108"/>
      <c r="I43" s="107"/>
      <c r="J43" s="110"/>
      <c r="K43" s="109"/>
      <c r="L43" s="108"/>
      <c r="M43" s="107"/>
      <c r="N43" s="110"/>
      <c r="O43" s="109"/>
      <c r="P43" s="108"/>
      <c r="Q43" s="80"/>
      <c r="R43" s="81"/>
      <c r="S43" s="17"/>
      <c r="T43" s="17"/>
      <c r="U43" s="17"/>
      <c r="V43" s="17"/>
      <c r="W43" s="19"/>
    </row>
    <row r="44" spans="1:23" ht="14.25" customHeight="1" x14ac:dyDescent="0.2">
      <c r="A44" s="38"/>
      <c r="B44" s="39">
        <v>9</v>
      </c>
      <c r="C44" s="112"/>
      <c r="D44" s="111"/>
      <c r="E44" s="109"/>
      <c r="F44" s="113"/>
      <c r="G44" s="109"/>
      <c r="H44" s="108"/>
      <c r="I44" s="107"/>
      <c r="J44" s="107"/>
      <c r="K44" s="109"/>
      <c r="L44" s="113"/>
      <c r="M44" s="107"/>
      <c r="N44" s="107"/>
      <c r="O44" s="109"/>
      <c r="P44" s="113"/>
      <c r="Q44" s="87"/>
      <c r="R44" s="88"/>
      <c r="S44" s="17"/>
      <c r="T44" s="17"/>
      <c r="U44" s="17"/>
      <c r="V44" s="17"/>
      <c r="W44" s="19"/>
    </row>
    <row r="45" spans="1:23" ht="14.25" customHeight="1" x14ac:dyDescent="0.2">
      <c r="A45" s="38"/>
      <c r="B45" s="193">
        <v>10</v>
      </c>
      <c r="C45" s="194"/>
      <c r="D45" s="195"/>
      <c r="E45" s="114"/>
      <c r="F45" s="115"/>
      <c r="G45" s="109"/>
      <c r="H45" s="113"/>
      <c r="I45" s="107"/>
      <c r="J45" s="107"/>
      <c r="K45" s="109"/>
      <c r="L45" s="113"/>
      <c r="M45" s="107"/>
      <c r="N45" s="107"/>
      <c r="O45" s="109"/>
      <c r="P45" s="113"/>
      <c r="Q45" s="87"/>
      <c r="R45" s="88"/>
      <c r="S45" s="17"/>
      <c r="T45" s="17"/>
      <c r="U45" s="17"/>
      <c r="V45" s="17"/>
      <c r="W45" s="19"/>
    </row>
    <row r="46" spans="1:23" ht="14.25" customHeight="1" x14ac:dyDescent="0.2">
      <c r="A46" s="116"/>
      <c r="B46" s="117"/>
      <c r="C46" s="117"/>
      <c r="D46" s="118" t="s">
        <v>46</v>
      </c>
      <c r="E46" s="95">
        <f>AVERAGE(E36:E45)</f>
        <v>2.8583050000000001</v>
      </c>
      <c r="F46" s="99">
        <f t="shared" ref="F46:Q46" si="10">AVERAGE(F36:F45)</f>
        <v>6.25</v>
      </c>
      <c r="G46" s="95">
        <f t="shared" si="10"/>
        <v>4.7087847500000004</v>
      </c>
      <c r="H46" s="96">
        <f t="shared" si="10"/>
        <v>7.75</v>
      </c>
      <c r="I46" s="99">
        <f t="shared" si="10"/>
        <v>5.9994475000000005</v>
      </c>
      <c r="J46" s="99">
        <f t="shared" si="10"/>
        <v>8</v>
      </c>
      <c r="K46" s="95">
        <f t="shared" si="10"/>
        <v>4.6676202499999997</v>
      </c>
      <c r="L46" s="96">
        <f t="shared" si="10"/>
        <v>6</v>
      </c>
      <c r="M46" s="99">
        <f t="shared" si="10"/>
        <v>5.6418650000000001</v>
      </c>
      <c r="N46" s="99">
        <f t="shared" si="10"/>
        <v>6.5</v>
      </c>
      <c r="O46" s="95">
        <f t="shared" si="10"/>
        <v>3.7709462500000002</v>
      </c>
      <c r="P46" s="96">
        <f t="shared" si="10"/>
        <v>6.5</v>
      </c>
      <c r="Q46" s="99">
        <f t="shared" si="10"/>
        <v>4.6078281250000002</v>
      </c>
      <c r="R46" s="96">
        <f>AVERAGE(R36:R45)</f>
        <v>41</v>
      </c>
      <c r="S46" s="17"/>
      <c r="T46" s="17"/>
      <c r="U46" s="17"/>
      <c r="V46" s="17"/>
      <c r="W46" s="19"/>
    </row>
    <row r="47" spans="1:23" ht="14.25" customHeight="1" x14ac:dyDescent="0.2">
      <c r="A47" s="119"/>
      <c r="B47" s="120"/>
      <c r="C47" s="120"/>
      <c r="D47" s="121" t="s">
        <v>47</v>
      </c>
      <c r="E47" s="101">
        <f>STDEV(E36:E45)/SQRT(COUNT(E36:E45))</f>
        <v>1.3527713716447676</v>
      </c>
      <c r="F47" s="103">
        <f t="shared" ref="F47:R47" si="11">STDEV(F36:F45)/SQRT(COUNT(F36:F45))</f>
        <v>2.8975564417856186</v>
      </c>
      <c r="G47" s="101">
        <f t="shared" si="11"/>
        <v>1.9218570086002484</v>
      </c>
      <c r="H47" s="102">
        <f t="shared" si="11"/>
        <v>3.6142080737002402</v>
      </c>
      <c r="I47" s="103">
        <f t="shared" si="11"/>
        <v>3.1263835285661257</v>
      </c>
      <c r="J47" s="103">
        <f t="shared" si="11"/>
        <v>4.5276925690687087</v>
      </c>
      <c r="K47" s="101">
        <f t="shared" si="11"/>
        <v>2.555645395059742</v>
      </c>
      <c r="L47" s="102">
        <f t="shared" si="11"/>
        <v>3.488074922742725</v>
      </c>
      <c r="M47" s="103">
        <f t="shared" si="11"/>
        <v>3.3428452920142244</v>
      </c>
      <c r="N47" s="103">
        <f t="shared" si="11"/>
        <v>2.7233557730613653</v>
      </c>
      <c r="O47" s="101">
        <f t="shared" si="11"/>
        <v>2.5313081036223273</v>
      </c>
      <c r="P47" s="102">
        <f t="shared" si="11"/>
        <v>3.2274861218395139</v>
      </c>
      <c r="Q47" s="103">
        <f t="shared" si="11"/>
        <v>2.159748384649578</v>
      </c>
      <c r="R47" s="102">
        <f t="shared" si="11"/>
        <v>19.161593531506369</v>
      </c>
      <c r="S47" s="17"/>
      <c r="T47" s="17"/>
      <c r="U47" s="17"/>
      <c r="V47" s="17"/>
      <c r="W47" s="19"/>
    </row>
    <row r="48" spans="1:23" ht="14.25" customHeight="1" x14ac:dyDescent="0.2">
      <c r="A48" s="51" t="s">
        <v>57</v>
      </c>
      <c r="B48" s="40">
        <v>1</v>
      </c>
      <c r="C48" s="122"/>
      <c r="D48" s="182"/>
      <c r="E48" s="123"/>
      <c r="F48" s="124"/>
      <c r="G48" s="123"/>
      <c r="H48" s="125"/>
      <c r="I48" s="126"/>
      <c r="J48" s="124"/>
      <c r="K48" s="123"/>
      <c r="L48" s="125"/>
      <c r="M48" s="126"/>
      <c r="N48" s="124"/>
      <c r="O48" s="123"/>
      <c r="P48" s="125"/>
      <c r="Q48" s="80"/>
      <c r="R48" s="81"/>
      <c r="S48" s="17"/>
      <c r="T48" s="17"/>
      <c r="U48" s="17"/>
      <c r="V48" s="17"/>
      <c r="W48" s="19"/>
    </row>
    <row r="49" spans="1:23" ht="14.25" customHeight="1" x14ac:dyDescent="0.2">
      <c r="A49" s="206"/>
      <c r="B49" s="41">
        <v>2</v>
      </c>
      <c r="C49" s="122"/>
      <c r="D49" s="183"/>
      <c r="E49" s="127"/>
      <c r="F49" s="124"/>
      <c r="G49" s="127"/>
      <c r="H49" s="128"/>
      <c r="I49" s="126"/>
      <c r="J49" s="124"/>
      <c r="K49" s="127"/>
      <c r="L49" s="128"/>
      <c r="M49" s="126"/>
      <c r="N49" s="124"/>
      <c r="O49" s="127"/>
      <c r="P49" s="128"/>
      <c r="Q49" s="80"/>
      <c r="R49" s="81"/>
      <c r="S49" s="17"/>
      <c r="T49" s="17"/>
      <c r="U49" s="17"/>
      <c r="V49" s="17"/>
      <c r="W49" s="19"/>
    </row>
    <row r="50" spans="1:23" ht="14.25" customHeight="1" x14ac:dyDescent="0.2">
      <c r="A50" s="206"/>
      <c r="B50" s="43">
        <v>3</v>
      </c>
      <c r="C50" s="122"/>
      <c r="D50" s="183"/>
      <c r="E50" s="126"/>
      <c r="F50" s="124"/>
      <c r="G50" s="127"/>
      <c r="H50" s="128"/>
      <c r="I50" s="126"/>
      <c r="J50" s="124"/>
      <c r="K50" s="127"/>
      <c r="L50" s="128"/>
      <c r="M50" s="126"/>
      <c r="N50" s="124"/>
      <c r="O50" s="127"/>
      <c r="P50" s="128"/>
      <c r="Q50" s="80"/>
      <c r="R50" s="81"/>
      <c r="S50" s="17"/>
      <c r="T50" s="17"/>
      <c r="U50" s="17"/>
      <c r="V50" s="17"/>
      <c r="W50" s="19"/>
    </row>
    <row r="51" spans="1:23" ht="14.25" customHeight="1" x14ac:dyDescent="0.2">
      <c r="A51" s="42"/>
      <c r="B51" s="43">
        <v>4</v>
      </c>
      <c r="C51" s="122"/>
      <c r="D51" s="183"/>
      <c r="E51" s="126"/>
      <c r="F51" s="124"/>
      <c r="G51" s="127"/>
      <c r="H51" s="128"/>
      <c r="I51" s="126"/>
      <c r="J51" s="124"/>
      <c r="K51" s="127"/>
      <c r="L51" s="128"/>
      <c r="M51" s="126"/>
      <c r="N51" s="124"/>
      <c r="O51" s="127"/>
      <c r="P51" s="128"/>
      <c r="Q51" s="80"/>
      <c r="R51" s="81"/>
      <c r="S51" s="17"/>
      <c r="T51" s="17"/>
      <c r="U51" s="17"/>
      <c r="V51" s="17"/>
      <c r="W51" s="19"/>
    </row>
    <row r="52" spans="1:23" ht="14.25" customHeight="1" x14ac:dyDescent="0.2">
      <c r="A52" s="42"/>
      <c r="B52" s="43">
        <v>5</v>
      </c>
      <c r="C52" s="122"/>
      <c r="D52" s="183"/>
      <c r="E52" s="126"/>
      <c r="F52" s="124"/>
      <c r="G52" s="127"/>
      <c r="H52" s="128"/>
      <c r="I52" s="126"/>
      <c r="J52" s="124"/>
      <c r="K52" s="127"/>
      <c r="L52" s="128"/>
      <c r="M52" s="126"/>
      <c r="N52" s="124"/>
      <c r="O52" s="127"/>
      <c r="P52" s="128"/>
      <c r="Q52" s="80"/>
      <c r="R52" s="81"/>
      <c r="S52" s="17"/>
      <c r="T52" s="17"/>
      <c r="U52" s="17"/>
      <c r="V52" s="17"/>
      <c r="W52" s="19"/>
    </row>
    <row r="53" spans="1:23" ht="14.25" customHeight="1" x14ac:dyDescent="0.2">
      <c r="A53" s="42"/>
      <c r="B53" s="43">
        <v>6</v>
      </c>
      <c r="C53" s="122"/>
      <c r="D53" s="183"/>
      <c r="E53" s="126"/>
      <c r="F53" s="124"/>
      <c r="G53" s="127"/>
      <c r="H53" s="128"/>
      <c r="I53" s="126"/>
      <c r="J53" s="124"/>
      <c r="K53" s="127"/>
      <c r="L53" s="128"/>
      <c r="M53" s="126"/>
      <c r="N53" s="124"/>
      <c r="O53" s="127"/>
      <c r="P53" s="128"/>
      <c r="Q53" s="80"/>
      <c r="R53" s="81"/>
      <c r="S53" s="17"/>
      <c r="T53" s="17"/>
      <c r="U53" s="17"/>
      <c r="V53" s="17"/>
      <c r="W53" s="19"/>
    </row>
    <row r="54" spans="1:23" ht="14.25" customHeight="1" x14ac:dyDescent="0.2">
      <c r="A54" s="42"/>
      <c r="B54" s="43">
        <v>7</v>
      </c>
      <c r="C54" s="122"/>
      <c r="D54" s="184"/>
      <c r="E54" s="126"/>
      <c r="F54" s="124"/>
      <c r="G54" s="127"/>
      <c r="H54" s="128"/>
      <c r="I54" s="126"/>
      <c r="J54" s="124"/>
      <c r="K54" s="127"/>
      <c r="L54" s="128"/>
      <c r="M54" s="126"/>
      <c r="N54" s="124"/>
      <c r="O54" s="127"/>
      <c r="P54" s="128"/>
      <c r="Q54" s="80"/>
      <c r="R54" s="81"/>
      <c r="S54" s="17"/>
      <c r="T54" s="17"/>
      <c r="U54" s="17"/>
      <c r="V54" s="17"/>
      <c r="W54" s="19"/>
    </row>
    <row r="55" spans="1:23" ht="14.25" customHeight="1" x14ac:dyDescent="0.2">
      <c r="A55" s="42"/>
      <c r="B55" s="43">
        <v>8</v>
      </c>
      <c r="C55" s="122"/>
      <c r="D55" s="184"/>
      <c r="E55" s="126"/>
      <c r="F55" s="124"/>
      <c r="G55" s="127"/>
      <c r="H55" s="128"/>
      <c r="I55" s="126"/>
      <c r="J55" s="124"/>
      <c r="K55" s="127"/>
      <c r="L55" s="128"/>
      <c r="M55" s="126"/>
      <c r="N55" s="124"/>
      <c r="O55" s="127"/>
      <c r="P55" s="128"/>
      <c r="Q55" s="80"/>
      <c r="R55" s="81"/>
      <c r="S55" s="17"/>
      <c r="T55" s="17"/>
      <c r="U55" s="17"/>
      <c r="V55" s="17"/>
      <c r="W55" s="19"/>
    </row>
    <row r="56" spans="1:23" ht="14.25" customHeight="1" x14ac:dyDescent="0.2">
      <c r="A56" s="42"/>
      <c r="B56" s="43">
        <v>9</v>
      </c>
      <c r="C56" s="130"/>
      <c r="D56" s="129"/>
      <c r="E56" s="126"/>
      <c r="F56" s="124"/>
      <c r="G56" s="127"/>
      <c r="H56" s="128"/>
      <c r="I56" s="126"/>
      <c r="J56" s="124"/>
      <c r="K56" s="127"/>
      <c r="L56" s="128"/>
      <c r="M56" s="126"/>
      <c r="N56" s="124"/>
      <c r="O56" s="127"/>
      <c r="P56" s="128"/>
      <c r="Q56" s="127"/>
      <c r="R56" s="131"/>
      <c r="S56" s="17"/>
      <c r="T56" s="17"/>
      <c r="U56" s="17"/>
      <c r="V56" s="17"/>
      <c r="W56" s="19"/>
    </row>
    <row r="57" spans="1:23" ht="14.25" customHeight="1" x14ac:dyDescent="0.2">
      <c r="A57" s="42"/>
      <c r="B57" s="196">
        <v>10</v>
      </c>
      <c r="C57" s="197"/>
      <c r="D57" s="198"/>
      <c r="E57" s="126"/>
      <c r="F57" s="124"/>
      <c r="G57" s="132"/>
      <c r="H57" s="133"/>
      <c r="I57" s="126"/>
      <c r="J57" s="124"/>
      <c r="K57" s="132"/>
      <c r="L57" s="133"/>
      <c r="M57" s="126"/>
      <c r="N57" s="124"/>
      <c r="O57" s="132"/>
      <c r="P57" s="133"/>
      <c r="Q57" s="132"/>
      <c r="R57" s="134"/>
      <c r="S57" s="17"/>
      <c r="T57" s="17"/>
      <c r="U57" s="17"/>
      <c r="V57" s="17"/>
      <c r="W57" s="19"/>
    </row>
    <row r="58" spans="1:23" ht="14.25" customHeight="1" x14ac:dyDescent="0.2">
      <c r="A58" s="135"/>
      <c r="B58" s="136"/>
      <c r="C58" s="136"/>
      <c r="D58" s="137" t="s">
        <v>46</v>
      </c>
      <c r="E58" s="95" t="e">
        <f>AVERAGE(E48:E57)</f>
        <v>#DIV/0!</v>
      </c>
      <c r="F58" s="99" t="e">
        <f t="shared" ref="F58:R58" si="12">AVERAGE(F48:F57)</f>
        <v>#DIV/0!</v>
      </c>
      <c r="G58" s="95" t="e">
        <f t="shared" si="12"/>
        <v>#DIV/0!</v>
      </c>
      <c r="H58" s="96" t="e">
        <f t="shared" si="12"/>
        <v>#DIV/0!</v>
      </c>
      <c r="I58" s="99" t="e">
        <f t="shared" si="12"/>
        <v>#DIV/0!</v>
      </c>
      <c r="J58" s="99" t="e">
        <f t="shared" si="12"/>
        <v>#DIV/0!</v>
      </c>
      <c r="K58" s="95" t="e">
        <f t="shared" si="12"/>
        <v>#DIV/0!</v>
      </c>
      <c r="L58" s="96" t="e">
        <f t="shared" si="12"/>
        <v>#DIV/0!</v>
      </c>
      <c r="M58" s="99" t="e">
        <f>AVERAGE(M48:M57)</f>
        <v>#DIV/0!</v>
      </c>
      <c r="N58" s="99" t="e">
        <f>AVERAGE(N48:N57)</f>
        <v>#DIV/0!</v>
      </c>
      <c r="O58" s="95" t="e">
        <f t="shared" si="12"/>
        <v>#DIV/0!</v>
      </c>
      <c r="P58" s="96" t="e">
        <f t="shared" si="12"/>
        <v>#DIV/0!</v>
      </c>
      <c r="Q58" s="99" t="e">
        <f t="shared" si="12"/>
        <v>#DIV/0!</v>
      </c>
      <c r="R58" s="96" t="e">
        <f t="shared" si="12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38"/>
      <c r="B59" s="139"/>
      <c r="C59" s="139"/>
      <c r="D59" s="140" t="s">
        <v>47</v>
      </c>
      <c r="E59" s="101" t="e">
        <f>STDEV(E48:E57)/SQRT(COUNT(E48:E57))</f>
        <v>#DIV/0!</v>
      </c>
      <c r="F59" s="103" t="e">
        <f t="shared" ref="F59:R59" si="13">STDEV(F48:F57)/SQRT(COUNT(F48:F57))</f>
        <v>#DIV/0!</v>
      </c>
      <c r="G59" s="101" t="e">
        <f t="shared" si="13"/>
        <v>#DIV/0!</v>
      </c>
      <c r="H59" s="102" t="e">
        <f t="shared" si="13"/>
        <v>#DIV/0!</v>
      </c>
      <c r="I59" s="103" t="e">
        <f t="shared" si="13"/>
        <v>#DIV/0!</v>
      </c>
      <c r="J59" s="103" t="e">
        <f t="shared" si="13"/>
        <v>#DIV/0!</v>
      </c>
      <c r="K59" s="101" t="e">
        <f t="shared" si="13"/>
        <v>#DIV/0!</v>
      </c>
      <c r="L59" s="102" t="e">
        <f t="shared" si="13"/>
        <v>#DIV/0!</v>
      </c>
      <c r="M59" s="103" t="e">
        <f>STDEV(M48:M57)/SQRT(COUNT(M48:M57))</f>
        <v>#DIV/0!</v>
      </c>
      <c r="N59" s="103" t="e">
        <f>STDEV(N48:N57)/SQRT(COUNT(N48:N57))</f>
        <v>#DIV/0!</v>
      </c>
      <c r="O59" s="101" t="e">
        <f t="shared" si="13"/>
        <v>#DIV/0!</v>
      </c>
      <c r="P59" s="102" t="e">
        <f t="shared" si="13"/>
        <v>#DIV/0!</v>
      </c>
      <c r="Q59" s="103" t="e">
        <f t="shared" si="13"/>
        <v>#DIV/0!</v>
      </c>
      <c r="R59" s="102" t="e">
        <f t="shared" si="13"/>
        <v>#DIV/0!</v>
      </c>
      <c r="S59" s="17"/>
      <c r="T59" s="17"/>
      <c r="U59" s="17"/>
      <c r="V59" s="17"/>
      <c r="W59" s="19"/>
    </row>
    <row r="60" spans="1:23" ht="14.25" customHeight="1" x14ac:dyDescent="0.2">
      <c r="A60" s="52" t="s">
        <v>63</v>
      </c>
      <c r="B60" s="53">
        <v>1</v>
      </c>
      <c r="C60" s="141"/>
      <c r="D60" s="185"/>
      <c r="E60" s="123"/>
      <c r="F60" s="124"/>
      <c r="G60" s="123"/>
      <c r="H60" s="125"/>
      <c r="I60" s="126"/>
      <c r="J60" s="124"/>
      <c r="K60" s="123"/>
      <c r="L60" s="125"/>
      <c r="M60" s="126"/>
      <c r="N60" s="124"/>
      <c r="O60" s="123"/>
      <c r="P60" s="125"/>
      <c r="Q60" s="80"/>
      <c r="R60" s="81"/>
      <c r="S60" s="17"/>
      <c r="T60" s="17"/>
      <c r="U60" s="17"/>
      <c r="V60" s="17"/>
      <c r="W60" s="19"/>
    </row>
    <row r="61" spans="1:23" ht="14.25" customHeight="1" x14ac:dyDescent="0.2">
      <c r="A61" s="207"/>
      <c r="B61" s="54">
        <v>2</v>
      </c>
      <c r="C61" s="141"/>
      <c r="D61" s="185"/>
      <c r="E61" s="127"/>
      <c r="F61" s="124"/>
      <c r="G61" s="127"/>
      <c r="H61" s="128"/>
      <c r="I61" s="126"/>
      <c r="J61" s="124"/>
      <c r="K61" s="127"/>
      <c r="L61" s="128"/>
      <c r="M61" s="126"/>
      <c r="N61" s="124"/>
      <c r="O61" s="127"/>
      <c r="P61" s="128"/>
      <c r="Q61" s="80"/>
      <c r="R61" s="81"/>
      <c r="S61" s="17"/>
      <c r="T61" s="17"/>
      <c r="U61" s="17"/>
      <c r="V61" s="17"/>
      <c r="W61" s="19"/>
    </row>
    <row r="62" spans="1:23" ht="14.25" customHeight="1" x14ac:dyDescent="0.2">
      <c r="A62" s="207"/>
      <c r="B62" s="56">
        <v>3</v>
      </c>
      <c r="C62" s="141"/>
      <c r="D62" s="186"/>
      <c r="E62" s="126"/>
      <c r="F62" s="124"/>
      <c r="G62" s="127"/>
      <c r="H62" s="128"/>
      <c r="I62" s="126"/>
      <c r="J62" s="124"/>
      <c r="K62" s="127"/>
      <c r="L62" s="128"/>
      <c r="M62" s="126"/>
      <c r="N62" s="124"/>
      <c r="O62" s="127"/>
      <c r="P62" s="128"/>
      <c r="Q62" s="80"/>
      <c r="R62" s="81"/>
      <c r="S62" s="17"/>
      <c r="T62" s="17"/>
      <c r="U62" s="17"/>
      <c r="V62" s="17"/>
      <c r="W62" s="19"/>
    </row>
    <row r="63" spans="1:23" ht="14.25" customHeight="1" x14ac:dyDescent="0.2">
      <c r="A63" s="55"/>
      <c r="B63" s="56">
        <v>4</v>
      </c>
      <c r="C63" s="141"/>
      <c r="D63" s="186"/>
      <c r="E63" s="126"/>
      <c r="F63" s="124"/>
      <c r="G63" s="127"/>
      <c r="H63" s="128"/>
      <c r="I63" s="126"/>
      <c r="J63" s="124"/>
      <c r="K63" s="127"/>
      <c r="L63" s="128"/>
      <c r="M63" s="126"/>
      <c r="N63" s="124"/>
      <c r="O63" s="127"/>
      <c r="P63" s="128"/>
      <c r="Q63" s="80"/>
      <c r="R63" s="81"/>
      <c r="S63" s="17"/>
      <c r="T63" s="17"/>
      <c r="U63" s="17"/>
      <c r="V63" s="17"/>
      <c r="W63" s="19"/>
    </row>
    <row r="64" spans="1:23" ht="14.25" customHeight="1" x14ac:dyDescent="0.2">
      <c r="A64" s="55"/>
      <c r="B64" s="56">
        <v>5</v>
      </c>
      <c r="C64" s="141"/>
      <c r="D64" s="186"/>
      <c r="E64" s="126"/>
      <c r="F64" s="124"/>
      <c r="G64" s="127"/>
      <c r="H64" s="128"/>
      <c r="I64" s="126"/>
      <c r="J64" s="124"/>
      <c r="K64" s="127"/>
      <c r="L64" s="128"/>
      <c r="M64" s="126"/>
      <c r="N64" s="124"/>
      <c r="O64" s="127"/>
      <c r="P64" s="128"/>
      <c r="Q64" s="80"/>
      <c r="R64" s="81"/>
      <c r="S64" s="17"/>
      <c r="T64" s="17"/>
      <c r="U64" s="17"/>
      <c r="V64" s="17"/>
      <c r="W64" s="19"/>
    </row>
    <row r="65" spans="1:23" ht="14.25" customHeight="1" x14ac:dyDescent="0.2">
      <c r="A65" s="55"/>
      <c r="B65" s="56">
        <v>6</v>
      </c>
      <c r="C65" s="141"/>
      <c r="D65" s="186"/>
      <c r="E65" s="126"/>
      <c r="F65" s="124"/>
      <c r="G65" s="127"/>
      <c r="H65" s="128"/>
      <c r="I65" s="126"/>
      <c r="J65" s="124"/>
      <c r="K65" s="127"/>
      <c r="L65" s="128"/>
      <c r="M65" s="126"/>
      <c r="N65" s="124"/>
      <c r="O65" s="127"/>
      <c r="P65" s="128"/>
      <c r="Q65" s="80"/>
      <c r="R65" s="81"/>
      <c r="S65" s="17"/>
      <c r="T65" s="17"/>
      <c r="U65" s="17"/>
      <c r="V65" s="17"/>
      <c r="W65" s="19"/>
    </row>
    <row r="66" spans="1:23" ht="14.25" customHeight="1" x14ac:dyDescent="0.2">
      <c r="A66" s="55"/>
      <c r="B66" s="56">
        <v>7</v>
      </c>
      <c r="C66" s="141"/>
      <c r="D66" s="187"/>
      <c r="E66" s="126"/>
      <c r="F66" s="124"/>
      <c r="G66" s="127"/>
      <c r="H66" s="128"/>
      <c r="I66" s="126"/>
      <c r="J66" s="124"/>
      <c r="K66" s="127"/>
      <c r="L66" s="128"/>
      <c r="M66" s="126"/>
      <c r="N66" s="124"/>
      <c r="O66" s="127"/>
      <c r="P66" s="128"/>
      <c r="Q66" s="80"/>
      <c r="R66" s="81"/>
      <c r="S66" s="17"/>
      <c r="T66" s="17"/>
      <c r="U66" s="17"/>
      <c r="V66" s="17"/>
      <c r="W66" s="19"/>
    </row>
    <row r="67" spans="1:23" ht="14.25" customHeight="1" x14ac:dyDescent="0.2">
      <c r="A67" s="55"/>
      <c r="B67" s="56">
        <v>8</v>
      </c>
      <c r="C67" s="141"/>
      <c r="D67" s="187"/>
      <c r="E67" s="126"/>
      <c r="F67" s="124"/>
      <c r="G67" s="127"/>
      <c r="H67" s="128"/>
      <c r="I67" s="126"/>
      <c r="J67" s="124"/>
      <c r="K67" s="127"/>
      <c r="L67" s="128"/>
      <c r="M67" s="126"/>
      <c r="N67" s="124"/>
      <c r="O67" s="127"/>
      <c r="P67" s="128"/>
      <c r="Q67" s="127"/>
      <c r="R67" s="128"/>
      <c r="S67" s="17"/>
      <c r="T67" s="17"/>
      <c r="U67" s="17"/>
      <c r="V67" s="17"/>
      <c r="W67" s="19"/>
    </row>
    <row r="68" spans="1:23" ht="14.25" customHeight="1" x14ac:dyDescent="0.2">
      <c r="A68" s="55"/>
      <c r="B68" s="56">
        <v>9</v>
      </c>
      <c r="C68" s="143"/>
      <c r="D68" s="142"/>
      <c r="E68" s="126"/>
      <c r="F68" s="124"/>
      <c r="G68" s="127"/>
      <c r="H68" s="128"/>
      <c r="I68" s="126"/>
      <c r="J68" s="124"/>
      <c r="K68" s="127"/>
      <c r="L68" s="128"/>
      <c r="M68" s="126"/>
      <c r="N68" s="124"/>
      <c r="O68" s="127"/>
      <c r="P68" s="128"/>
      <c r="Q68" s="127"/>
      <c r="R68" s="128"/>
      <c r="S68" s="17"/>
      <c r="T68" s="17"/>
      <c r="U68" s="17"/>
      <c r="V68" s="17"/>
      <c r="W68" s="19"/>
    </row>
    <row r="69" spans="1:23" ht="14.25" customHeight="1" x14ac:dyDescent="0.2">
      <c r="A69" s="55"/>
      <c r="B69" s="199">
        <v>10</v>
      </c>
      <c r="C69" s="200"/>
      <c r="D69" s="201"/>
      <c r="E69" s="126"/>
      <c r="F69" s="124"/>
      <c r="G69" s="132"/>
      <c r="H69" s="133"/>
      <c r="I69" s="126"/>
      <c r="J69" s="124"/>
      <c r="K69" s="132"/>
      <c r="L69" s="133"/>
      <c r="M69" s="126"/>
      <c r="N69" s="124"/>
      <c r="O69" s="132"/>
      <c r="P69" s="133"/>
      <c r="Q69" s="132"/>
      <c r="R69" s="133"/>
      <c r="S69" s="17"/>
      <c r="T69" s="17"/>
      <c r="U69" s="17"/>
      <c r="V69" s="17"/>
      <c r="W69" s="19"/>
    </row>
    <row r="70" spans="1:23" ht="14.25" customHeight="1" x14ac:dyDescent="0.2">
      <c r="A70" s="144"/>
      <c r="B70" s="145"/>
      <c r="C70" s="145"/>
      <c r="D70" s="146" t="s">
        <v>46</v>
      </c>
      <c r="E70" s="95" t="e">
        <f>AVERAGE(E60:E69)</f>
        <v>#DIV/0!</v>
      </c>
      <c r="F70" s="99" t="e">
        <f t="shared" ref="F70:R70" si="14">AVERAGE(F60:F69)</f>
        <v>#DIV/0!</v>
      </c>
      <c r="G70" s="95" t="e">
        <f t="shared" si="14"/>
        <v>#DIV/0!</v>
      </c>
      <c r="H70" s="96" t="e">
        <f t="shared" si="14"/>
        <v>#DIV/0!</v>
      </c>
      <c r="I70" s="99" t="e">
        <f t="shared" si="14"/>
        <v>#DIV/0!</v>
      </c>
      <c r="J70" s="99" t="e">
        <f t="shared" si="14"/>
        <v>#DIV/0!</v>
      </c>
      <c r="K70" s="95" t="e">
        <f t="shared" si="14"/>
        <v>#DIV/0!</v>
      </c>
      <c r="L70" s="96" t="e">
        <f t="shared" si="14"/>
        <v>#DIV/0!</v>
      </c>
      <c r="M70" s="99" t="e">
        <f>AVERAGE(M60:M69)</f>
        <v>#DIV/0!</v>
      </c>
      <c r="N70" s="99" t="e">
        <f t="shared" si="14"/>
        <v>#DIV/0!</v>
      </c>
      <c r="O70" s="95" t="e">
        <f t="shared" si="14"/>
        <v>#DIV/0!</v>
      </c>
      <c r="P70" s="96" t="e">
        <f t="shared" si="14"/>
        <v>#DIV/0!</v>
      </c>
      <c r="Q70" s="99" t="e">
        <f t="shared" si="14"/>
        <v>#DIV/0!</v>
      </c>
      <c r="R70" s="96" t="e">
        <f t="shared" si="14"/>
        <v>#DIV/0!</v>
      </c>
      <c r="S70" s="17"/>
      <c r="T70" s="17"/>
      <c r="U70" s="17"/>
      <c r="V70" s="17"/>
      <c r="W70" s="19"/>
    </row>
    <row r="71" spans="1:23" ht="14.25" customHeight="1" x14ac:dyDescent="0.2">
      <c r="A71" s="147"/>
      <c r="B71" s="148"/>
      <c r="C71" s="148"/>
      <c r="D71" s="149" t="s">
        <v>47</v>
      </c>
      <c r="E71" s="101" t="e">
        <f>STDEV(E60:E69)/SQRT(COUNT(E60:E69))</f>
        <v>#DIV/0!</v>
      </c>
      <c r="F71" s="103" t="e">
        <f t="shared" ref="F71:Q71" si="15">STDEV(F60:F69)/SQRT(COUNT(F60:F69))</f>
        <v>#DIV/0!</v>
      </c>
      <c r="G71" s="101" t="e">
        <f t="shared" si="15"/>
        <v>#DIV/0!</v>
      </c>
      <c r="H71" s="102" t="e">
        <f t="shared" si="15"/>
        <v>#DIV/0!</v>
      </c>
      <c r="I71" s="103" t="e">
        <f t="shared" si="15"/>
        <v>#DIV/0!</v>
      </c>
      <c r="J71" s="103" t="e">
        <f t="shared" si="15"/>
        <v>#DIV/0!</v>
      </c>
      <c r="K71" s="101" t="e">
        <f t="shared" si="15"/>
        <v>#DIV/0!</v>
      </c>
      <c r="L71" s="102" t="e">
        <f t="shared" si="15"/>
        <v>#DIV/0!</v>
      </c>
      <c r="M71" s="103" t="e">
        <f t="shared" si="15"/>
        <v>#DIV/0!</v>
      </c>
      <c r="N71" s="103" t="e">
        <f t="shared" si="15"/>
        <v>#DIV/0!</v>
      </c>
      <c r="O71" s="101" t="e">
        <f t="shared" si="15"/>
        <v>#DIV/0!</v>
      </c>
      <c r="P71" s="102" t="e">
        <f t="shared" si="15"/>
        <v>#DIV/0!</v>
      </c>
      <c r="Q71" s="103" t="e">
        <f t="shared" si="15"/>
        <v>#DIV/0!</v>
      </c>
      <c r="R71" s="102" t="e">
        <f>STDEV(R60:R69)/SQRT(COUNT(R60:R69))</f>
        <v>#DIV/0!</v>
      </c>
      <c r="S71" s="17"/>
      <c r="T71" s="17"/>
      <c r="U71" s="17"/>
      <c r="V71" s="17"/>
      <c r="W71" s="19"/>
    </row>
    <row r="72" spans="1:23" ht="14.25" customHeight="1" x14ac:dyDescent="0.2">
      <c r="A72" s="150"/>
      <c r="B72" s="150"/>
      <c r="C72" s="150" t="s">
        <v>49</v>
      </c>
      <c r="D72" s="150" t="s">
        <v>50</v>
      </c>
      <c r="E72" s="151">
        <f>TTEST(E24:E33,E36:E45,2,2)</f>
        <v>0.63286203126340035</v>
      </c>
      <c r="F72" s="151">
        <f t="shared" ref="F72:R72" si="16">TTEST(F24:F33,F36:F45,2,2)</f>
        <v>0.9381943104111059</v>
      </c>
      <c r="G72" s="151">
        <f t="shared" si="16"/>
        <v>0.98356498545639515</v>
      </c>
      <c r="H72" s="151">
        <f t="shared" si="16"/>
        <v>0.46316274187251305</v>
      </c>
      <c r="I72" s="151">
        <f t="shared" si="16"/>
        <v>0.95312798285148381</v>
      </c>
      <c r="J72" s="151">
        <f t="shared" si="16"/>
        <v>0.75165734941145801</v>
      </c>
      <c r="K72" s="151">
        <f t="shared" si="16"/>
        <v>0.76230122015076773</v>
      </c>
      <c r="L72" s="151">
        <f t="shared" si="16"/>
        <v>0.94931199361118646</v>
      </c>
      <c r="M72" s="151">
        <f t="shared" si="16"/>
        <v>0.54946728592480842</v>
      </c>
      <c r="N72" s="151">
        <f t="shared" si="16"/>
        <v>0.75504267841947104</v>
      </c>
      <c r="O72" s="151">
        <f t="shared" si="16"/>
        <v>0.5129784096192036</v>
      </c>
      <c r="P72" s="151">
        <f t="shared" si="16"/>
        <v>0.25941941481388919</v>
      </c>
      <c r="Q72" s="151">
        <f t="shared" si="16"/>
        <v>0.88475379021744627</v>
      </c>
      <c r="R72" s="151">
        <f t="shared" si="16"/>
        <v>0.62421147456263348</v>
      </c>
      <c r="S72" s="17"/>
      <c r="T72" s="17"/>
      <c r="U72" s="17"/>
      <c r="V72" s="17"/>
      <c r="W72" s="19"/>
    </row>
    <row r="73" spans="1:23" ht="14.25" customHeight="1" x14ac:dyDescent="0.2">
      <c r="A73" s="150"/>
      <c r="B73" s="150"/>
      <c r="C73" s="150"/>
      <c r="D73" s="150" t="s">
        <v>58</v>
      </c>
      <c r="E73" s="151" t="e">
        <f>TTEST(E24:E33,E48:E57,2,2)</f>
        <v>#DIV/0!</v>
      </c>
      <c r="F73" s="151" t="e">
        <f t="shared" ref="F73:R73" si="17">TTEST(F24:F33,F48:F57,2,2)</f>
        <v>#DIV/0!</v>
      </c>
      <c r="G73" s="151" t="e">
        <f t="shared" si="17"/>
        <v>#DIV/0!</v>
      </c>
      <c r="H73" s="151" t="e">
        <f t="shared" si="17"/>
        <v>#DIV/0!</v>
      </c>
      <c r="I73" s="151" t="e">
        <f t="shared" si="17"/>
        <v>#DIV/0!</v>
      </c>
      <c r="J73" s="151" t="e">
        <f t="shared" si="17"/>
        <v>#DIV/0!</v>
      </c>
      <c r="K73" s="151" t="e">
        <f t="shared" si="17"/>
        <v>#DIV/0!</v>
      </c>
      <c r="L73" s="151" t="e">
        <f t="shared" si="17"/>
        <v>#DIV/0!</v>
      </c>
      <c r="M73" s="151" t="e">
        <f t="shared" si="17"/>
        <v>#DIV/0!</v>
      </c>
      <c r="N73" s="151" t="e">
        <f t="shared" si="17"/>
        <v>#DIV/0!</v>
      </c>
      <c r="O73" s="151" t="e">
        <f t="shared" si="17"/>
        <v>#DIV/0!</v>
      </c>
      <c r="P73" s="151" t="e">
        <f t="shared" si="17"/>
        <v>#DIV/0!</v>
      </c>
      <c r="Q73" s="151" t="e">
        <f t="shared" si="17"/>
        <v>#DIV/0!</v>
      </c>
      <c r="R73" s="151" t="e">
        <f t="shared" si="17"/>
        <v>#DIV/0!</v>
      </c>
      <c r="S73" s="17"/>
      <c r="T73" s="17"/>
      <c r="U73" s="17"/>
      <c r="V73" s="17"/>
      <c r="W73" s="19"/>
    </row>
    <row r="74" spans="1:23" ht="14.25" customHeight="1" x14ac:dyDescent="0.2">
      <c r="A74" s="150"/>
      <c r="B74" s="150"/>
      <c r="C74" s="150"/>
      <c r="D74" s="150" t="s">
        <v>64</v>
      </c>
      <c r="E74" s="151" t="e">
        <f>TTEST(E24:E33,E60:E69,2,2)</f>
        <v>#DIV/0!</v>
      </c>
      <c r="F74" s="151" t="e">
        <f t="shared" ref="F74:R74" si="18">TTEST(F24:F33,F60:F69,2,2)</f>
        <v>#DIV/0!</v>
      </c>
      <c r="G74" s="151" t="e">
        <f t="shared" si="18"/>
        <v>#DIV/0!</v>
      </c>
      <c r="H74" s="151" t="e">
        <f t="shared" si="18"/>
        <v>#DIV/0!</v>
      </c>
      <c r="I74" s="151" t="e">
        <f t="shared" si="18"/>
        <v>#DIV/0!</v>
      </c>
      <c r="J74" s="151" t="e">
        <f t="shared" si="18"/>
        <v>#DIV/0!</v>
      </c>
      <c r="K74" s="151" t="e">
        <f t="shared" si="18"/>
        <v>#DIV/0!</v>
      </c>
      <c r="L74" s="151" t="e">
        <f t="shared" si="18"/>
        <v>#DIV/0!</v>
      </c>
      <c r="M74" s="151" t="e">
        <f t="shared" si="18"/>
        <v>#DIV/0!</v>
      </c>
      <c r="N74" s="151" t="e">
        <f t="shared" si="18"/>
        <v>#DIV/0!</v>
      </c>
      <c r="O74" s="151" t="e">
        <f t="shared" si="18"/>
        <v>#DIV/0!</v>
      </c>
      <c r="P74" s="151" t="e">
        <f t="shared" si="18"/>
        <v>#DIV/0!</v>
      </c>
      <c r="Q74" s="151" t="e">
        <f t="shared" si="18"/>
        <v>#DIV/0!</v>
      </c>
      <c r="R74" s="151" t="e">
        <f t="shared" si="18"/>
        <v>#DIV/0!</v>
      </c>
      <c r="S74" s="17"/>
      <c r="T74" s="17"/>
      <c r="U74" s="17"/>
      <c r="V74" s="17"/>
      <c r="W74" s="19"/>
    </row>
    <row r="75" spans="1:23" ht="14.25" customHeight="1" x14ac:dyDescent="0.2">
      <c r="A75" s="150"/>
      <c r="B75" s="150"/>
      <c r="C75" s="150"/>
      <c r="D75" s="150" t="s">
        <v>59</v>
      </c>
      <c r="E75" s="151" t="e">
        <f>TTEST(E36:E45,E48:E57,2,2)</f>
        <v>#DIV/0!</v>
      </c>
      <c r="F75" s="151" t="e">
        <f t="shared" ref="F75:R75" si="19">TTEST(F36:F45,F48:F57,2,2)</f>
        <v>#DIV/0!</v>
      </c>
      <c r="G75" s="151" t="e">
        <f t="shared" si="19"/>
        <v>#DIV/0!</v>
      </c>
      <c r="H75" s="151" t="e">
        <f t="shared" si="19"/>
        <v>#DIV/0!</v>
      </c>
      <c r="I75" s="151" t="e">
        <f t="shared" si="19"/>
        <v>#DIV/0!</v>
      </c>
      <c r="J75" s="151" t="e">
        <f t="shared" si="19"/>
        <v>#DIV/0!</v>
      </c>
      <c r="K75" s="151" t="e">
        <f t="shared" si="19"/>
        <v>#DIV/0!</v>
      </c>
      <c r="L75" s="151" t="e">
        <f t="shared" si="19"/>
        <v>#DIV/0!</v>
      </c>
      <c r="M75" s="151" t="e">
        <f t="shared" si="19"/>
        <v>#DIV/0!</v>
      </c>
      <c r="N75" s="151" t="e">
        <f t="shared" si="19"/>
        <v>#DIV/0!</v>
      </c>
      <c r="O75" s="151" t="e">
        <f t="shared" si="19"/>
        <v>#DIV/0!</v>
      </c>
      <c r="P75" s="151" t="e">
        <f t="shared" si="19"/>
        <v>#DIV/0!</v>
      </c>
      <c r="Q75" s="151" t="e">
        <f t="shared" si="19"/>
        <v>#DIV/0!</v>
      </c>
      <c r="R75" s="151" t="e">
        <f t="shared" si="19"/>
        <v>#DIV/0!</v>
      </c>
      <c r="S75" s="17"/>
      <c r="T75" s="17"/>
      <c r="U75" s="17"/>
      <c r="V75" s="17"/>
      <c r="W75" s="19"/>
    </row>
    <row r="76" spans="1:23" ht="14.25" customHeight="1" x14ac:dyDescent="0.2">
      <c r="A76" s="150"/>
      <c r="B76" s="150"/>
      <c r="C76" s="150"/>
      <c r="D76" s="150" t="s">
        <v>65</v>
      </c>
      <c r="E76" s="151" t="e">
        <f>TTEST(E36:E45,E60:E69,2,2)</f>
        <v>#DIV/0!</v>
      </c>
      <c r="F76" s="151" t="e">
        <f t="shared" ref="F76:R76" si="20">TTEST(F36:F45,F60:F69,2,2)</f>
        <v>#DIV/0!</v>
      </c>
      <c r="G76" s="151" t="e">
        <f t="shared" si="20"/>
        <v>#DIV/0!</v>
      </c>
      <c r="H76" s="151" t="e">
        <f t="shared" si="20"/>
        <v>#DIV/0!</v>
      </c>
      <c r="I76" s="151" t="e">
        <f t="shared" si="20"/>
        <v>#DIV/0!</v>
      </c>
      <c r="J76" s="151" t="e">
        <f t="shared" si="20"/>
        <v>#DIV/0!</v>
      </c>
      <c r="K76" s="151" t="e">
        <f t="shared" si="20"/>
        <v>#DIV/0!</v>
      </c>
      <c r="L76" s="151" t="e">
        <f t="shared" si="20"/>
        <v>#DIV/0!</v>
      </c>
      <c r="M76" s="151" t="e">
        <f t="shared" si="20"/>
        <v>#DIV/0!</v>
      </c>
      <c r="N76" s="151" t="e">
        <f t="shared" si="20"/>
        <v>#DIV/0!</v>
      </c>
      <c r="O76" s="151" t="e">
        <f t="shared" si="20"/>
        <v>#DIV/0!</v>
      </c>
      <c r="P76" s="151" t="e">
        <f t="shared" si="20"/>
        <v>#DIV/0!</v>
      </c>
      <c r="Q76" s="151" t="e">
        <f t="shared" si="20"/>
        <v>#DIV/0!</v>
      </c>
      <c r="R76" s="151" t="e">
        <f t="shared" si="20"/>
        <v>#DIV/0!</v>
      </c>
      <c r="S76" s="17"/>
      <c r="T76" s="17"/>
      <c r="U76" s="17"/>
      <c r="V76" s="17"/>
      <c r="W76" s="19"/>
    </row>
    <row r="77" spans="1:23" ht="14.25" customHeight="1" x14ac:dyDescent="0.2">
      <c r="A77" s="150"/>
      <c r="B77" s="150"/>
      <c r="C77" s="150"/>
      <c r="D77" s="150" t="s">
        <v>66</v>
      </c>
      <c r="E77" s="151" t="e">
        <f>TTEST(E48:E57,E60:E69,2,2)</f>
        <v>#DIV/0!</v>
      </c>
      <c r="F77" s="151" t="e">
        <f t="shared" ref="F77:R77" si="21">TTEST(F48:F57,F60:F69,2,2)</f>
        <v>#DIV/0!</v>
      </c>
      <c r="G77" s="151" t="e">
        <f t="shared" si="21"/>
        <v>#DIV/0!</v>
      </c>
      <c r="H77" s="151" t="e">
        <f t="shared" si="21"/>
        <v>#DIV/0!</v>
      </c>
      <c r="I77" s="151" t="e">
        <f t="shared" si="21"/>
        <v>#DIV/0!</v>
      </c>
      <c r="J77" s="151" t="e">
        <f t="shared" si="21"/>
        <v>#DIV/0!</v>
      </c>
      <c r="K77" s="151" t="e">
        <f t="shared" si="21"/>
        <v>#DIV/0!</v>
      </c>
      <c r="L77" s="151" t="e">
        <f t="shared" si="21"/>
        <v>#DIV/0!</v>
      </c>
      <c r="M77" s="151" t="e">
        <f t="shared" si="21"/>
        <v>#DIV/0!</v>
      </c>
      <c r="N77" s="151" t="e">
        <f t="shared" si="21"/>
        <v>#DIV/0!</v>
      </c>
      <c r="O77" s="151" t="e">
        <f t="shared" si="21"/>
        <v>#DIV/0!</v>
      </c>
      <c r="P77" s="151" t="e">
        <f t="shared" si="21"/>
        <v>#DIV/0!</v>
      </c>
      <c r="Q77" s="151" t="e">
        <f t="shared" si="21"/>
        <v>#DIV/0!</v>
      </c>
      <c r="R77" s="151" t="e">
        <f t="shared" si="21"/>
        <v>#DIV/0!</v>
      </c>
      <c r="S77" s="17"/>
      <c r="T77" s="17"/>
      <c r="U77" s="17"/>
      <c r="V77" s="17"/>
      <c r="W77" s="19"/>
    </row>
    <row r="78" spans="1:23" ht="14.25" customHeight="1" x14ac:dyDescent="0.2">
      <c r="A78" s="29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5"/>
    </row>
  </sheetData>
  <sheetProtection algorithmName="SHA-512" hashValue="34f+fZvRZQb6vTXI9W2+t81fHpXXPO2tBq6zuH2w19oqraKOi0OwuoYzMohiP3IFX1S4w5V/w50kNL+d30sJOQ==" saltValue="SBJ1iTzi2ythtYXKaFSWpw==" spinCount="100000" sheet="1" objects="1" scenarios="1"/>
  <mergeCells count="15">
    <mergeCell ref="A25:A26"/>
    <mergeCell ref="A37:A38"/>
    <mergeCell ref="A49:A50"/>
    <mergeCell ref="A61:A62"/>
    <mergeCell ref="O2:W2"/>
    <mergeCell ref="H2:N2"/>
    <mergeCell ref="A2:G2"/>
    <mergeCell ref="G21:H21"/>
    <mergeCell ref="E21:F21"/>
    <mergeCell ref="Q21:R21"/>
    <mergeCell ref="O21:P21"/>
    <mergeCell ref="M21:N21"/>
    <mergeCell ref="K21:L21"/>
    <mergeCell ref="I21:J21"/>
    <mergeCell ref="A19:D20"/>
  </mergeCells>
  <conditionalFormatting sqref="E72:R77">
    <cfRule type="cellIs" dxfId="8" priority="1" operator="lessThan">
      <formula>0.05</formula>
    </cfRule>
    <cfRule type="cellIs" dxfId="7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2"/>
  <sheetViews>
    <sheetView zoomScaleNormal="100" workbookViewId="0">
      <selection activeCell="N25" sqref="N25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1" t="s">
        <v>31</v>
      </c>
      <c r="F5" s="212"/>
      <c r="G5" s="211" t="s">
        <v>32</v>
      </c>
      <c r="H5" s="212"/>
      <c r="I5" s="211" t="s">
        <v>33</v>
      </c>
      <c r="J5" s="212"/>
      <c r="K5" s="211" t="s">
        <v>34</v>
      </c>
      <c r="L5" s="212"/>
      <c r="M5" s="211" t="s">
        <v>35</v>
      </c>
      <c r="N5" s="212"/>
      <c r="O5" s="211" t="s">
        <v>36</v>
      </c>
      <c r="P5" s="212"/>
      <c r="Q5" s="211" t="s">
        <v>37</v>
      </c>
      <c r="R5" s="212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38</v>
      </c>
      <c r="F6" s="46" t="s">
        <v>39</v>
      </c>
      <c r="G6" s="26" t="s">
        <v>38</v>
      </c>
      <c r="H6" s="47" t="s">
        <v>39</v>
      </c>
      <c r="I6" s="48" t="s">
        <v>38</v>
      </c>
      <c r="J6" s="46" t="s">
        <v>39</v>
      </c>
      <c r="K6" s="26" t="s">
        <v>38</v>
      </c>
      <c r="L6" s="47" t="s">
        <v>39</v>
      </c>
      <c r="M6" s="26" t="s">
        <v>38</v>
      </c>
      <c r="N6" s="47" t="s">
        <v>39</v>
      </c>
      <c r="O6" s="26" t="s">
        <v>38</v>
      </c>
      <c r="P6" s="47" t="s">
        <v>39</v>
      </c>
      <c r="Q6" s="26" t="s">
        <v>38</v>
      </c>
      <c r="R6" s="47" t="s">
        <v>39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40</v>
      </c>
      <c r="C7" s="30" t="s">
        <v>41</v>
      </c>
      <c r="D7" s="31" t="s">
        <v>42</v>
      </c>
      <c r="E7" s="32" t="s">
        <v>43</v>
      </c>
      <c r="F7" s="33" t="s">
        <v>44</v>
      </c>
      <c r="G7" s="32" t="s">
        <v>43</v>
      </c>
      <c r="H7" s="32" t="s">
        <v>44</v>
      </c>
      <c r="I7" s="49" t="s">
        <v>43</v>
      </c>
      <c r="J7" s="33" t="s">
        <v>44</v>
      </c>
      <c r="K7" s="32" t="s">
        <v>43</v>
      </c>
      <c r="L7" s="32" t="s">
        <v>44</v>
      </c>
      <c r="M7" s="32" t="s">
        <v>43</v>
      </c>
      <c r="N7" s="32" t="s">
        <v>44</v>
      </c>
      <c r="O7" s="32" t="s">
        <v>43</v>
      </c>
      <c r="P7" s="32" t="s">
        <v>44</v>
      </c>
      <c r="Q7" s="32" t="s">
        <v>43</v>
      </c>
      <c r="R7" s="32" t="s">
        <v>44</v>
      </c>
      <c r="S7" s="17"/>
      <c r="T7" s="17"/>
      <c r="U7" s="17"/>
      <c r="V7" s="17"/>
      <c r="W7" s="19"/>
    </row>
    <row r="8" spans="1:23" ht="14.25" customHeight="1" x14ac:dyDescent="0.2">
      <c r="A8" s="34" t="s">
        <v>45</v>
      </c>
      <c r="B8" s="73">
        <v>1</v>
      </c>
      <c r="C8" s="74" t="s">
        <v>88</v>
      </c>
      <c r="D8" s="179">
        <v>5997</v>
      </c>
      <c r="E8" s="75">
        <v>2.7444199999999999</v>
      </c>
      <c r="F8" s="76">
        <v>7</v>
      </c>
      <c r="G8" s="75">
        <v>1.7222</v>
      </c>
      <c r="H8" s="76">
        <v>4</v>
      </c>
      <c r="I8" s="77">
        <v>3.68885</v>
      </c>
      <c r="J8" s="78">
        <v>10</v>
      </c>
      <c r="K8" s="75">
        <v>8.0554699999999997</v>
      </c>
      <c r="L8" s="76">
        <v>15</v>
      </c>
      <c r="M8" s="77">
        <v>3.19997</v>
      </c>
      <c r="N8" s="78">
        <v>5</v>
      </c>
      <c r="O8" s="75">
        <v>5.0443899999999999</v>
      </c>
      <c r="P8" s="76">
        <v>4</v>
      </c>
      <c r="Q8" s="77">
        <f>AVERAGE(E8,G8,I8,K8,M8,O8)</f>
        <v>4.0758833333333335</v>
      </c>
      <c r="R8" s="76">
        <f>SUM(F8,H8,J8,L8,N8,P8)</f>
        <v>45</v>
      </c>
      <c r="S8" s="17"/>
      <c r="T8" s="17"/>
      <c r="U8" s="17"/>
      <c r="V8" s="17"/>
      <c r="W8" s="19"/>
    </row>
    <row r="9" spans="1:23" ht="14.25" customHeight="1" x14ac:dyDescent="0.2">
      <c r="A9" s="204" t="s">
        <v>83</v>
      </c>
      <c r="B9" s="79">
        <v>2</v>
      </c>
      <c r="C9" s="74" t="s">
        <v>88</v>
      </c>
      <c r="D9" s="179">
        <v>5998</v>
      </c>
      <c r="E9" s="80">
        <v>10.7888</v>
      </c>
      <c r="F9" s="81">
        <v>17</v>
      </c>
      <c r="G9" s="80">
        <v>6.4332700000000003</v>
      </c>
      <c r="H9" s="81">
        <v>13</v>
      </c>
      <c r="I9" s="82">
        <v>32.788600000000002</v>
      </c>
      <c r="J9" s="83">
        <v>19</v>
      </c>
      <c r="K9" s="80">
        <v>10.877700000000001</v>
      </c>
      <c r="L9" s="81">
        <v>17</v>
      </c>
      <c r="M9" s="82">
        <v>10.010999999999999</v>
      </c>
      <c r="N9" s="83">
        <v>13</v>
      </c>
      <c r="O9" s="80">
        <v>17.899799999999999</v>
      </c>
      <c r="P9" s="83">
        <v>16</v>
      </c>
      <c r="Q9" s="80">
        <f t="shared" ref="Q9:Q11" si="0">AVERAGE(E9,G9,I9,K9,M9,O9)</f>
        <v>14.799861666666667</v>
      </c>
      <c r="R9" s="81">
        <f t="shared" ref="R9:R11" si="1">SUM(F9,H9,J9,L9,N9,P9)</f>
        <v>95</v>
      </c>
      <c r="S9" s="17"/>
      <c r="T9" s="17"/>
      <c r="U9" s="17"/>
      <c r="V9" s="17"/>
      <c r="W9" s="19"/>
    </row>
    <row r="10" spans="1:23" ht="14.25" customHeight="1" x14ac:dyDescent="0.2">
      <c r="A10" s="204"/>
      <c r="B10" s="79">
        <v>3</v>
      </c>
      <c r="C10" s="74" t="s">
        <v>88</v>
      </c>
      <c r="D10" s="179">
        <v>5999</v>
      </c>
      <c r="E10" s="80">
        <v>4.5999499999999998</v>
      </c>
      <c r="F10" s="81">
        <v>12</v>
      </c>
      <c r="G10" s="80">
        <v>3.4666299999999999</v>
      </c>
      <c r="H10" s="81">
        <v>10</v>
      </c>
      <c r="I10" s="82">
        <v>5.9777199999999997</v>
      </c>
      <c r="J10" s="83">
        <v>15</v>
      </c>
      <c r="K10" s="80">
        <v>4.6221800000000002</v>
      </c>
      <c r="L10" s="81">
        <v>11</v>
      </c>
      <c r="M10" s="82">
        <v>22.9998</v>
      </c>
      <c r="N10" s="83">
        <v>26</v>
      </c>
      <c r="O10" s="80">
        <v>12.7888</v>
      </c>
      <c r="P10" s="83">
        <v>10</v>
      </c>
      <c r="Q10" s="80">
        <f t="shared" si="0"/>
        <v>9.0758466666666671</v>
      </c>
      <c r="R10" s="81">
        <f t="shared" si="1"/>
        <v>84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88</v>
      </c>
      <c r="D11" s="179">
        <v>6000</v>
      </c>
      <c r="E11" s="80">
        <v>17.944299999999998</v>
      </c>
      <c r="F11" s="81">
        <v>44</v>
      </c>
      <c r="G11" s="80">
        <v>40.043999999999997</v>
      </c>
      <c r="H11" s="81">
        <v>42</v>
      </c>
      <c r="I11" s="82">
        <v>31.599699999999999</v>
      </c>
      <c r="J11" s="83">
        <v>38</v>
      </c>
      <c r="K11" s="80">
        <v>17.977599999999999</v>
      </c>
      <c r="L11" s="81">
        <v>23</v>
      </c>
      <c r="M11" s="82">
        <v>24.099799999999998</v>
      </c>
      <c r="N11" s="83">
        <v>33</v>
      </c>
      <c r="O11" s="80">
        <v>5.9554999999999998</v>
      </c>
      <c r="P11" s="83">
        <v>13</v>
      </c>
      <c r="Q11" s="80">
        <f t="shared" si="0"/>
        <v>22.936816666666662</v>
      </c>
      <c r="R11" s="81">
        <f t="shared" si="1"/>
        <v>193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/>
      <c r="D12" s="179"/>
      <c r="E12" s="80"/>
      <c r="F12" s="81"/>
      <c r="G12" s="80"/>
      <c r="H12" s="81"/>
      <c r="I12" s="82"/>
      <c r="J12" s="83"/>
      <c r="K12" s="80"/>
      <c r="L12" s="81"/>
      <c r="M12" s="82"/>
      <c r="N12" s="83"/>
      <c r="O12" s="80"/>
      <c r="P12" s="83"/>
      <c r="Q12" s="80"/>
      <c r="R12" s="81"/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/>
      <c r="D13" s="179"/>
      <c r="E13" s="80"/>
      <c r="F13" s="81"/>
      <c r="G13" s="80"/>
      <c r="H13" s="81"/>
      <c r="I13" s="82"/>
      <c r="J13" s="83"/>
      <c r="K13" s="80"/>
      <c r="L13" s="81"/>
      <c r="M13" s="82"/>
      <c r="N13" s="83"/>
      <c r="O13" s="80"/>
      <c r="P13" s="83"/>
      <c r="Q13" s="80"/>
      <c r="R13" s="81"/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/>
      <c r="D14" s="189"/>
      <c r="E14" s="80"/>
      <c r="F14" s="81"/>
      <c r="G14" s="80"/>
      <c r="H14" s="81"/>
      <c r="I14" s="82"/>
      <c r="J14" s="83"/>
      <c r="K14" s="80"/>
      <c r="L14" s="81"/>
      <c r="M14" s="82"/>
      <c r="N14" s="83"/>
      <c r="O14" s="80"/>
      <c r="P14" s="81"/>
      <c r="Q14" s="80"/>
      <c r="R14" s="81"/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/>
      <c r="D15" s="189"/>
      <c r="E15" s="80"/>
      <c r="F15" s="81"/>
      <c r="G15" s="80"/>
      <c r="H15" s="81"/>
      <c r="I15" s="82"/>
      <c r="J15" s="83"/>
      <c r="K15" s="80"/>
      <c r="L15" s="81"/>
      <c r="M15" s="82"/>
      <c r="N15" s="83"/>
      <c r="O15" s="80"/>
      <c r="P15" s="81"/>
      <c r="Q15" s="80"/>
      <c r="R15" s="81"/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6"/>
      <c r="Q16" s="87"/>
      <c r="R16" s="81"/>
      <c r="S16" s="17"/>
      <c r="T16" s="17"/>
      <c r="U16" s="17"/>
      <c r="V16" s="17"/>
      <c r="W16" s="19"/>
    </row>
    <row r="17" spans="1:23" ht="14.25" customHeight="1" x14ac:dyDescent="0.2">
      <c r="A17" s="35"/>
      <c r="B17" s="190">
        <v>10</v>
      </c>
      <c r="C17" s="191"/>
      <c r="D17" s="192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90"/>
      <c r="Q17" s="91"/>
      <c r="R17" s="152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46</v>
      </c>
      <c r="E18" s="95">
        <f>AVERAGE(E8:E17)</f>
        <v>9.0193674999999995</v>
      </c>
      <c r="F18" s="96">
        <f t="shared" ref="F18:R18" si="2">AVERAGE(F8:F17)</f>
        <v>20</v>
      </c>
      <c r="G18" s="97">
        <f t="shared" si="2"/>
        <v>12.916525</v>
      </c>
      <c r="H18" s="98">
        <f t="shared" si="2"/>
        <v>17.25</v>
      </c>
      <c r="I18" s="99">
        <f t="shared" si="2"/>
        <v>18.513717499999998</v>
      </c>
      <c r="J18" s="99">
        <f t="shared" si="2"/>
        <v>20.5</v>
      </c>
      <c r="K18" s="97">
        <f t="shared" si="2"/>
        <v>10.3832375</v>
      </c>
      <c r="L18" s="98">
        <f t="shared" si="2"/>
        <v>16.5</v>
      </c>
      <c r="M18" s="99">
        <f t="shared" si="2"/>
        <v>15.0776425</v>
      </c>
      <c r="N18" s="99">
        <f t="shared" si="2"/>
        <v>19.25</v>
      </c>
      <c r="O18" s="97">
        <f t="shared" si="2"/>
        <v>10.4221225</v>
      </c>
      <c r="P18" s="98">
        <f t="shared" si="2"/>
        <v>10.75</v>
      </c>
      <c r="Q18" s="100">
        <f t="shared" si="2"/>
        <v>12.722102083333333</v>
      </c>
      <c r="R18" s="98">
        <f t="shared" si="2"/>
        <v>104.25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47</v>
      </c>
      <c r="E19" s="101">
        <f>STDEV(E8:E17)/SQRT(COUNT(E8:E17))</f>
        <v>3.4362228375145061</v>
      </c>
      <c r="F19" s="102">
        <f t="shared" ref="F19:R19" si="3">STDEV(F8:F17)/SQRT(COUNT(F8:F17))</f>
        <v>8.2563107176672244</v>
      </c>
      <c r="G19" s="101">
        <f t="shared" si="3"/>
        <v>9.094622600687817</v>
      </c>
      <c r="H19" s="102">
        <f t="shared" si="3"/>
        <v>8.4594621578443157</v>
      </c>
      <c r="I19" s="103">
        <f t="shared" si="3"/>
        <v>7.9159287625841017</v>
      </c>
      <c r="J19" s="103">
        <f t="shared" si="3"/>
        <v>6.1169164345008555</v>
      </c>
      <c r="K19" s="101">
        <f t="shared" si="3"/>
        <v>2.8361817054753242</v>
      </c>
      <c r="L19" s="102">
        <f t="shared" si="3"/>
        <v>2.5</v>
      </c>
      <c r="M19" s="103">
        <f t="shared" si="3"/>
        <v>5.0901037616280069</v>
      </c>
      <c r="N19" s="103">
        <f t="shared" si="3"/>
        <v>6.3031076991168939</v>
      </c>
      <c r="O19" s="101">
        <f t="shared" si="3"/>
        <v>3.0329790990333096</v>
      </c>
      <c r="P19" s="102">
        <f t="shared" si="3"/>
        <v>2.5617376914898995</v>
      </c>
      <c r="Q19" s="103">
        <f t="shared" si="3"/>
        <v>4.04876273427573</v>
      </c>
      <c r="R19" s="102">
        <f t="shared" si="3"/>
        <v>31.467906931772038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48</v>
      </c>
      <c r="B20" s="37">
        <v>1</v>
      </c>
      <c r="C20" s="104" t="s">
        <v>84</v>
      </c>
      <c r="D20" s="180">
        <v>792</v>
      </c>
      <c r="E20" s="82">
        <v>6.2888299999999999</v>
      </c>
      <c r="F20" s="81">
        <v>18</v>
      </c>
      <c r="G20" s="80">
        <v>12.1554</v>
      </c>
      <c r="H20" s="81">
        <v>20</v>
      </c>
      <c r="I20" s="82">
        <v>16.291699999999999</v>
      </c>
      <c r="J20" s="83">
        <v>23</v>
      </c>
      <c r="K20" s="80">
        <v>15.2524</v>
      </c>
      <c r="L20" s="81">
        <v>27</v>
      </c>
      <c r="M20" s="82">
        <v>21.877600000000001</v>
      </c>
      <c r="N20" s="83">
        <v>30</v>
      </c>
      <c r="O20" s="80">
        <v>21.461300000000001</v>
      </c>
      <c r="P20" s="81">
        <v>35</v>
      </c>
      <c r="Q20" s="80">
        <f t="shared" ref="Q20" si="4">AVERAGE(E20,G20,I20,K20,M20,O20)</f>
        <v>15.554538333333332</v>
      </c>
      <c r="R20" s="81">
        <f t="shared" ref="R20" si="5">SUM(F20,H20,J20,L20,N20,P20)</f>
        <v>153</v>
      </c>
      <c r="S20" s="17"/>
      <c r="T20" s="17"/>
      <c r="U20" s="17"/>
      <c r="V20" s="17"/>
      <c r="W20" s="19"/>
    </row>
    <row r="21" spans="1:23" ht="14.25" customHeight="1" x14ac:dyDescent="0.2">
      <c r="A21" s="205" t="s">
        <v>82</v>
      </c>
      <c r="B21" s="39">
        <v>2</v>
      </c>
      <c r="C21" s="105" t="s">
        <v>84</v>
      </c>
      <c r="D21" s="181">
        <v>793</v>
      </c>
      <c r="E21" s="82">
        <v>17.411899999999999</v>
      </c>
      <c r="F21" s="81">
        <v>42</v>
      </c>
      <c r="G21" s="80">
        <v>27.021000000000001</v>
      </c>
      <c r="H21" s="81">
        <v>46</v>
      </c>
      <c r="I21" s="82">
        <v>32.399700000000003</v>
      </c>
      <c r="J21" s="83">
        <v>41</v>
      </c>
      <c r="K21" s="80">
        <v>20.866499999999998</v>
      </c>
      <c r="L21" s="81">
        <v>38</v>
      </c>
      <c r="M21" s="82">
        <v>24.299800000000001</v>
      </c>
      <c r="N21" s="83">
        <v>31</v>
      </c>
      <c r="O21" s="80">
        <v>10.5555</v>
      </c>
      <c r="P21" s="81">
        <v>31</v>
      </c>
      <c r="Q21" s="80">
        <f t="shared" ref="Q21:Q22" si="6">AVERAGE(E21,G21,I21,K21,M21,O21)</f>
        <v>22.092400000000001</v>
      </c>
      <c r="R21" s="81">
        <f t="shared" ref="R21:R22" si="7">SUM(F21,H21,J21,L21,N21,P21)</f>
        <v>229</v>
      </c>
      <c r="S21" s="17"/>
      <c r="T21" s="17"/>
      <c r="U21" s="17"/>
      <c r="V21" s="17"/>
      <c r="W21" s="19"/>
    </row>
    <row r="22" spans="1:23" ht="14.25" customHeight="1" x14ac:dyDescent="0.2">
      <c r="A22" s="205"/>
      <c r="B22" s="39">
        <v>3</v>
      </c>
      <c r="C22" s="105" t="s">
        <v>84</v>
      </c>
      <c r="D22" s="181">
        <v>794</v>
      </c>
      <c r="E22" s="82">
        <v>0.344441</v>
      </c>
      <c r="F22" s="81">
        <v>2</v>
      </c>
      <c r="G22" s="80">
        <v>1.4999899999999999</v>
      </c>
      <c r="H22" s="81">
        <v>4</v>
      </c>
      <c r="I22" s="82">
        <v>0.36666300000000002</v>
      </c>
      <c r="J22" s="83">
        <v>1</v>
      </c>
      <c r="K22" s="80">
        <v>0.14444299999999999</v>
      </c>
      <c r="L22" s="81">
        <v>1</v>
      </c>
      <c r="M22" s="82">
        <v>0</v>
      </c>
      <c r="N22" s="83">
        <v>0</v>
      </c>
      <c r="O22" s="80">
        <v>0</v>
      </c>
      <c r="P22" s="81">
        <v>0</v>
      </c>
      <c r="Q22" s="80">
        <f t="shared" si="6"/>
        <v>0.39258949999999998</v>
      </c>
      <c r="R22" s="81">
        <f t="shared" si="7"/>
        <v>8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5" t="s">
        <v>84</v>
      </c>
      <c r="D23" s="181">
        <v>795</v>
      </c>
      <c r="E23" s="82">
        <v>7.48881</v>
      </c>
      <c r="F23" s="81">
        <v>29</v>
      </c>
      <c r="G23" s="80">
        <v>23.2775</v>
      </c>
      <c r="H23" s="81">
        <v>17</v>
      </c>
      <c r="I23" s="82">
        <v>4.9443900000000003</v>
      </c>
      <c r="J23" s="83">
        <v>10</v>
      </c>
      <c r="K23" s="80">
        <v>3.4666299999999999</v>
      </c>
      <c r="L23" s="81">
        <v>7</v>
      </c>
      <c r="M23" s="82">
        <v>6.7443799999999996</v>
      </c>
      <c r="N23" s="83">
        <v>17</v>
      </c>
      <c r="O23" s="80">
        <v>1.2555400000000001</v>
      </c>
      <c r="P23" s="81">
        <v>5</v>
      </c>
      <c r="Q23" s="80">
        <f t="shared" ref="Q23" si="8">AVERAGE(E23,G23,I23,K23,M23,O23)</f>
        <v>7.8628750000000016</v>
      </c>
      <c r="R23" s="81">
        <f t="shared" ref="R23" si="9">SUM(F23,H23,J23,L23,N23,P23)</f>
        <v>85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5"/>
      <c r="D24" s="181"/>
      <c r="E24" s="107"/>
      <c r="F24" s="108"/>
      <c r="G24" s="109"/>
      <c r="H24" s="108"/>
      <c r="I24" s="107"/>
      <c r="J24" s="110"/>
      <c r="K24" s="109"/>
      <c r="L24" s="108"/>
      <c r="M24" s="107"/>
      <c r="N24" s="110"/>
      <c r="O24" s="109"/>
      <c r="P24" s="108"/>
      <c r="Q24" s="80"/>
      <c r="R24" s="81"/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5"/>
      <c r="D25" s="181"/>
      <c r="E25" s="107"/>
      <c r="F25" s="108"/>
      <c r="G25" s="109"/>
      <c r="H25" s="108"/>
      <c r="I25" s="107"/>
      <c r="J25" s="110"/>
      <c r="K25" s="109"/>
      <c r="L25" s="108"/>
      <c r="M25" s="107"/>
      <c r="N25" s="110"/>
      <c r="O25" s="109"/>
      <c r="P25" s="108"/>
      <c r="Q25" s="80"/>
      <c r="R25" s="81"/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5"/>
      <c r="D26" s="188"/>
      <c r="E26" s="109"/>
      <c r="F26" s="108"/>
      <c r="G26" s="109"/>
      <c r="H26" s="108"/>
      <c r="I26" s="107"/>
      <c r="J26" s="110"/>
      <c r="K26" s="109"/>
      <c r="L26" s="108"/>
      <c r="M26" s="107"/>
      <c r="N26" s="110"/>
      <c r="O26" s="109"/>
      <c r="P26" s="108"/>
      <c r="Q26" s="80"/>
      <c r="R26" s="81"/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5"/>
      <c r="D27" s="188"/>
      <c r="E27" s="109"/>
      <c r="F27" s="113"/>
      <c r="G27" s="109"/>
      <c r="H27" s="113"/>
      <c r="I27" s="107"/>
      <c r="J27" s="107"/>
      <c r="K27" s="109"/>
      <c r="L27" s="113"/>
      <c r="M27" s="107"/>
      <c r="N27" s="107"/>
      <c r="O27" s="109"/>
      <c r="P27" s="113"/>
      <c r="Q27" s="80"/>
      <c r="R27" s="81"/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2"/>
      <c r="D28" s="111"/>
      <c r="E28" s="109"/>
      <c r="F28" s="113"/>
      <c r="G28" s="109"/>
      <c r="H28" s="113"/>
      <c r="I28" s="107"/>
      <c r="J28" s="107"/>
      <c r="K28" s="109"/>
      <c r="L28" s="113"/>
      <c r="M28" s="107"/>
      <c r="N28" s="107"/>
      <c r="O28" s="109"/>
      <c r="P28" s="113"/>
      <c r="Q28" s="87"/>
      <c r="R28" s="81"/>
      <c r="S28" s="17"/>
      <c r="T28" s="17"/>
      <c r="U28" s="17"/>
      <c r="V28" s="17"/>
      <c r="W28" s="19"/>
    </row>
    <row r="29" spans="1:23" ht="14.25" customHeight="1" x14ac:dyDescent="0.2">
      <c r="A29" s="38"/>
      <c r="B29" s="193">
        <v>10</v>
      </c>
      <c r="C29" s="194"/>
      <c r="D29" s="195"/>
      <c r="E29" s="114"/>
      <c r="F29" s="115"/>
      <c r="G29" s="109"/>
      <c r="H29" s="113"/>
      <c r="I29" s="107"/>
      <c r="J29" s="107"/>
      <c r="K29" s="109"/>
      <c r="L29" s="113"/>
      <c r="M29" s="107"/>
      <c r="N29" s="107"/>
      <c r="O29" s="109"/>
      <c r="P29" s="113"/>
      <c r="Q29" s="87"/>
      <c r="R29" s="81"/>
      <c r="S29" s="17"/>
      <c r="T29" s="17"/>
      <c r="U29" s="17"/>
      <c r="V29" s="17"/>
      <c r="W29" s="19"/>
    </row>
    <row r="30" spans="1:23" ht="14.25" customHeight="1" x14ac:dyDescent="0.2">
      <c r="A30" s="116"/>
      <c r="B30" s="117"/>
      <c r="C30" s="117"/>
      <c r="D30" s="118" t="s">
        <v>46</v>
      </c>
      <c r="E30" s="95">
        <f>AVERAGE(E20:E29)</f>
        <v>7.8834952500000002</v>
      </c>
      <c r="F30" s="99">
        <f t="shared" ref="F30:R30" si="10">AVERAGE(F20:F29)</f>
        <v>22.75</v>
      </c>
      <c r="G30" s="95">
        <f t="shared" si="10"/>
        <v>15.9884725</v>
      </c>
      <c r="H30" s="96">
        <f t="shared" si="10"/>
        <v>21.75</v>
      </c>
      <c r="I30" s="99">
        <f t="shared" si="10"/>
        <v>13.500613250000001</v>
      </c>
      <c r="J30" s="99">
        <f t="shared" si="10"/>
        <v>18.75</v>
      </c>
      <c r="K30" s="95">
        <f t="shared" si="10"/>
        <v>9.9324932500000003</v>
      </c>
      <c r="L30" s="96">
        <f t="shared" si="10"/>
        <v>18.25</v>
      </c>
      <c r="M30" s="99">
        <f t="shared" si="10"/>
        <v>13.230445000000001</v>
      </c>
      <c r="N30" s="99">
        <f t="shared" si="10"/>
        <v>19.5</v>
      </c>
      <c r="O30" s="95">
        <f t="shared" si="10"/>
        <v>8.3180850000000017</v>
      </c>
      <c r="P30" s="96">
        <f t="shared" si="10"/>
        <v>17.75</v>
      </c>
      <c r="Q30" s="99">
        <f t="shared" si="10"/>
        <v>11.475600708333333</v>
      </c>
      <c r="R30" s="96">
        <f t="shared" si="10"/>
        <v>118.75</v>
      </c>
      <c r="S30" s="17"/>
      <c r="T30" s="17"/>
      <c r="U30" s="17"/>
      <c r="V30" s="17"/>
      <c r="W30" s="19"/>
    </row>
    <row r="31" spans="1:23" ht="14.25" customHeight="1" x14ac:dyDescent="0.2">
      <c r="A31" s="119"/>
      <c r="B31" s="120"/>
      <c r="C31" s="120"/>
      <c r="D31" s="121" t="s">
        <v>47</v>
      </c>
      <c r="E31" s="101">
        <f>STDEV(E20:E29)/SQRT(COUNT(E20:E29))</f>
        <v>3.5393804751019013</v>
      </c>
      <c r="F31" s="103">
        <f t="shared" ref="F31:R31" si="11">STDEV(F20:F29)/SQRT(COUNT(F20:F29))</f>
        <v>8.4791410728524461</v>
      </c>
      <c r="G31" s="101">
        <f t="shared" si="11"/>
        <v>5.7695692710192494</v>
      </c>
      <c r="H31" s="102">
        <f t="shared" si="11"/>
        <v>8.7974901723919725</v>
      </c>
      <c r="I31" s="103">
        <f t="shared" si="11"/>
        <v>7.1336949910464043</v>
      </c>
      <c r="J31" s="103">
        <f t="shared" si="11"/>
        <v>8.6830774114557645</v>
      </c>
      <c r="K31" s="101">
        <f t="shared" si="11"/>
        <v>4.877390240538193</v>
      </c>
      <c r="L31" s="102">
        <f t="shared" si="11"/>
        <v>8.6156350123868801</v>
      </c>
      <c r="M31" s="103">
        <f t="shared" si="11"/>
        <v>5.8766318569986735</v>
      </c>
      <c r="N31" s="103">
        <f t="shared" si="11"/>
        <v>7.2399355429911569</v>
      </c>
      <c r="O31" s="101">
        <f t="shared" si="11"/>
        <v>4.9734311291996054</v>
      </c>
      <c r="P31" s="102">
        <f t="shared" si="11"/>
        <v>8.9010767138962841</v>
      </c>
      <c r="Q31" s="103">
        <f t="shared" si="11"/>
        <v>4.7014101061620286</v>
      </c>
      <c r="R31" s="102">
        <f t="shared" si="11"/>
        <v>47.198825903476312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57</v>
      </c>
      <c r="B32" s="40">
        <v>1</v>
      </c>
      <c r="C32" s="122"/>
      <c r="D32" s="182"/>
      <c r="E32" s="153"/>
      <c r="F32" s="154"/>
      <c r="G32" s="153"/>
      <c r="H32" s="155"/>
      <c r="I32" s="156"/>
      <c r="J32" s="154"/>
      <c r="K32" s="153"/>
      <c r="L32" s="155"/>
      <c r="M32" s="156"/>
      <c r="N32" s="154"/>
      <c r="O32" s="153"/>
      <c r="P32" s="155"/>
      <c r="Q32" s="80"/>
      <c r="R32" s="81"/>
      <c r="S32" s="17"/>
      <c r="T32" s="17"/>
      <c r="U32" s="17"/>
      <c r="V32" s="17"/>
      <c r="W32" s="19"/>
    </row>
    <row r="33" spans="1:23" ht="14.25" customHeight="1" x14ac:dyDescent="0.2">
      <c r="A33" s="206"/>
      <c r="B33" s="41">
        <v>2</v>
      </c>
      <c r="C33" s="122"/>
      <c r="D33" s="183"/>
      <c r="E33" s="157"/>
      <c r="F33" s="154"/>
      <c r="G33" s="157"/>
      <c r="H33" s="158"/>
      <c r="I33" s="156"/>
      <c r="J33" s="154"/>
      <c r="K33" s="157"/>
      <c r="L33" s="158"/>
      <c r="M33" s="156"/>
      <c r="N33" s="154"/>
      <c r="O33" s="157"/>
      <c r="P33" s="158"/>
      <c r="Q33" s="80"/>
      <c r="R33" s="81"/>
      <c r="S33" s="17"/>
      <c r="T33" s="17"/>
      <c r="U33" s="17"/>
      <c r="V33" s="17"/>
      <c r="W33" s="19"/>
    </row>
    <row r="34" spans="1:23" ht="14.25" customHeight="1" x14ac:dyDescent="0.2">
      <c r="A34" s="206"/>
      <c r="B34" s="43">
        <v>3</v>
      </c>
      <c r="C34" s="122"/>
      <c r="D34" s="183"/>
      <c r="E34" s="156"/>
      <c r="F34" s="154"/>
      <c r="G34" s="157"/>
      <c r="H34" s="158"/>
      <c r="I34" s="156"/>
      <c r="J34" s="154"/>
      <c r="K34" s="157"/>
      <c r="L34" s="158"/>
      <c r="M34" s="156"/>
      <c r="N34" s="154"/>
      <c r="O34" s="157"/>
      <c r="P34" s="158"/>
      <c r="Q34" s="80"/>
      <c r="R34" s="81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2"/>
      <c r="D35" s="183"/>
      <c r="E35" s="156"/>
      <c r="F35" s="154"/>
      <c r="G35" s="157"/>
      <c r="H35" s="158"/>
      <c r="I35" s="156"/>
      <c r="J35" s="154"/>
      <c r="K35" s="157"/>
      <c r="L35" s="158"/>
      <c r="M35" s="156"/>
      <c r="N35" s="154"/>
      <c r="O35" s="157"/>
      <c r="P35" s="158"/>
      <c r="Q35" s="80"/>
      <c r="R35" s="81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2"/>
      <c r="D36" s="183"/>
      <c r="E36" s="156"/>
      <c r="F36" s="154"/>
      <c r="G36" s="157"/>
      <c r="H36" s="158"/>
      <c r="I36" s="156"/>
      <c r="J36" s="154"/>
      <c r="K36" s="157"/>
      <c r="L36" s="158"/>
      <c r="M36" s="156"/>
      <c r="N36" s="154"/>
      <c r="O36" s="157"/>
      <c r="P36" s="158"/>
      <c r="Q36" s="80"/>
      <c r="R36" s="81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2"/>
      <c r="D37" s="183"/>
      <c r="E37" s="156"/>
      <c r="F37" s="154"/>
      <c r="G37" s="157"/>
      <c r="H37" s="158"/>
      <c r="I37" s="156"/>
      <c r="J37" s="154"/>
      <c r="K37" s="157"/>
      <c r="L37" s="158"/>
      <c r="M37" s="156"/>
      <c r="N37" s="154"/>
      <c r="O37" s="157"/>
      <c r="P37" s="158"/>
      <c r="Q37" s="80"/>
      <c r="R37" s="81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2"/>
      <c r="D38" s="184"/>
      <c r="E38" s="156"/>
      <c r="F38" s="154"/>
      <c r="G38" s="157"/>
      <c r="H38" s="158"/>
      <c r="I38" s="156"/>
      <c r="J38" s="154"/>
      <c r="K38" s="157"/>
      <c r="L38" s="158"/>
      <c r="M38" s="156"/>
      <c r="N38" s="154"/>
      <c r="O38" s="157"/>
      <c r="P38" s="158"/>
      <c r="Q38" s="80"/>
      <c r="R38" s="81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2"/>
      <c r="D39" s="184"/>
      <c r="E39" s="156"/>
      <c r="F39" s="154"/>
      <c r="G39" s="157"/>
      <c r="H39" s="158"/>
      <c r="I39" s="156"/>
      <c r="J39" s="154"/>
      <c r="K39" s="157"/>
      <c r="L39" s="158"/>
      <c r="M39" s="156"/>
      <c r="N39" s="154"/>
      <c r="O39" s="157"/>
      <c r="P39" s="158"/>
      <c r="Q39" s="80"/>
      <c r="R39" s="81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0"/>
      <c r="D40" s="129"/>
      <c r="E40" s="156"/>
      <c r="F40" s="156"/>
      <c r="G40" s="157"/>
      <c r="H40" s="159"/>
      <c r="I40" s="156"/>
      <c r="J40" s="156"/>
      <c r="K40" s="157"/>
      <c r="L40" s="159"/>
      <c r="M40" s="156"/>
      <c r="N40" s="154"/>
      <c r="O40" s="157"/>
      <c r="P40" s="158"/>
      <c r="Q40" s="157"/>
      <c r="R40" s="158"/>
      <c r="S40" s="17"/>
      <c r="T40" s="17"/>
      <c r="U40" s="17"/>
      <c r="V40" s="17"/>
      <c r="W40" s="19"/>
    </row>
    <row r="41" spans="1:23" ht="14.25" customHeight="1" x14ac:dyDescent="0.2">
      <c r="A41" s="42"/>
      <c r="B41" s="196">
        <v>10</v>
      </c>
      <c r="C41" s="197"/>
      <c r="D41" s="198"/>
      <c r="E41" s="156"/>
      <c r="F41" s="156"/>
      <c r="G41" s="160"/>
      <c r="H41" s="161"/>
      <c r="I41" s="156"/>
      <c r="J41" s="156"/>
      <c r="K41" s="160"/>
      <c r="L41" s="161"/>
      <c r="M41" s="156"/>
      <c r="N41" s="156"/>
      <c r="O41" s="160"/>
      <c r="P41" s="162"/>
      <c r="Q41" s="160"/>
      <c r="R41" s="162"/>
      <c r="S41" s="17"/>
      <c r="T41" s="17"/>
      <c r="U41" s="17"/>
      <c r="V41" s="17"/>
      <c r="W41" s="19"/>
    </row>
    <row r="42" spans="1:23" ht="14.25" customHeight="1" x14ac:dyDescent="0.2">
      <c r="A42" s="135"/>
      <c r="B42" s="136"/>
      <c r="C42" s="136"/>
      <c r="D42" s="137" t="s">
        <v>46</v>
      </c>
      <c r="E42" s="95" t="e">
        <f>AVERAGE(E32:E41)</f>
        <v>#DIV/0!</v>
      </c>
      <c r="F42" s="99" t="e">
        <f t="shared" ref="F42:R42" si="12">AVERAGE(F32:F41)</f>
        <v>#DIV/0!</v>
      </c>
      <c r="G42" s="95" t="e">
        <f t="shared" si="12"/>
        <v>#DIV/0!</v>
      </c>
      <c r="H42" s="96" t="e">
        <f t="shared" si="12"/>
        <v>#DIV/0!</v>
      </c>
      <c r="I42" s="99" t="e">
        <f t="shared" si="12"/>
        <v>#DIV/0!</v>
      </c>
      <c r="J42" s="99" t="e">
        <f t="shared" si="12"/>
        <v>#DIV/0!</v>
      </c>
      <c r="K42" s="95" t="e">
        <f t="shared" si="12"/>
        <v>#DIV/0!</v>
      </c>
      <c r="L42" s="96" t="e">
        <f t="shared" si="12"/>
        <v>#DIV/0!</v>
      </c>
      <c r="M42" s="99" t="e">
        <f t="shared" si="12"/>
        <v>#DIV/0!</v>
      </c>
      <c r="N42" s="99" t="e">
        <f t="shared" si="12"/>
        <v>#DIV/0!</v>
      </c>
      <c r="O42" s="95" t="e">
        <f t="shared" si="12"/>
        <v>#DIV/0!</v>
      </c>
      <c r="P42" s="96" t="e">
        <f t="shared" si="12"/>
        <v>#DIV/0!</v>
      </c>
      <c r="Q42" s="99" t="e">
        <f t="shared" si="12"/>
        <v>#DIV/0!</v>
      </c>
      <c r="R42" s="96" t="e">
        <f t="shared" si="12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38"/>
      <c r="B43" s="139"/>
      <c r="C43" s="139"/>
      <c r="D43" s="140" t="s">
        <v>47</v>
      </c>
      <c r="E43" s="101" t="e">
        <f>STDEV(E32:E41)/SQRT(COUNT(E32:E41))</f>
        <v>#DIV/0!</v>
      </c>
      <c r="F43" s="103" t="e">
        <f t="shared" ref="F43:R43" si="13">STDEV(F32:F41)/SQRT(COUNT(F32:F41))</f>
        <v>#DIV/0!</v>
      </c>
      <c r="G43" s="101" t="e">
        <f t="shared" si="13"/>
        <v>#DIV/0!</v>
      </c>
      <c r="H43" s="102" t="e">
        <f t="shared" si="13"/>
        <v>#DIV/0!</v>
      </c>
      <c r="I43" s="103" t="e">
        <f t="shared" si="13"/>
        <v>#DIV/0!</v>
      </c>
      <c r="J43" s="103" t="e">
        <f t="shared" si="13"/>
        <v>#DIV/0!</v>
      </c>
      <c r="K43" s="101" t="e">
        <f t="shared" si="13"/>
        <v>#DIV/0!</v>
      </c>
      <c r="L43" s="102" t="e">
        <f t="shared" si="13"/>
        <v>#DIV/0!</v>
      </c>
      <c r="M43" s="103" t="e">
        <f t="shared" si="13"/>
        <v>#DIV/0!</v>
      </c>
      <c r="N43" s="103" t="e">
        <f t="shared" si="13"/>
        <v>#DIV/0!</v>
      </c>
      <c r="O43" s="101" t="e">
        <f t="shared" si="13"/>
        <v>#DIV/0!</v>
      </c>
      <c r="P43" s="102" t="e">
        <f t="shared" si="13"/>
        <v>#DIV/0!</v>
      </c>
      <c r="Q43" s="103" t="e">
        <f t="shared" si="13"/>
        <v>#DIV/0!</v>
      </c>
      <c r="R43" s="102" t="e">
        <f t="shared" si="13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63</v>
      </c>
      <c r="B44" s="53">
        <v>1</v>
      </c>
      <c r="C44" s="141"/>
      <c r="D44" s="185"/>
      <c r="E44" s="123"/>
      <c r="F44" s="124"/>
      <c r="G44" s="123"/>
      <c r="H44" s="125"/>
      <c r="I44" s="126"/>
      <c r="J44" s="124"/>
      <c r="K44" s="123"/>
      <c r="L44" s="125"/>
      <c r="M44" s="126"/>
      <c r="N44" s="124"/>
      <c r="O44" s="123"/>
      <c r="P44" s="125"/>
      <c r="Q44" s="80"/>
      <c r="R44" s="81"/>
      <c r="S44" s="17"/>
      <c r="T44" s="17"/>
      <c r="U44" s="17"/>
      <c r="V44" s="17"/>
      <c r="W44" s="19"/>
    </row>
    <row r="45" spans="1:23" ht="14.25" customHeight="1" x14ac:dyDescent="0.2">
      <c r="A45" s="207"/>
      <c r="B45" s="54">
        <v>2</v>
      </c>
      <c r="C45" s="141"/>
      <c r="D45" s="185"/>
      <c r="E45" s="127"/>
      <c r="F45" s="124"/>
      <c r="G45" s="127"/>
      <c r="H45" s="128"/>
      <c r="I45" s="126"/>
      <c r="J45" s="124"/>
      <c r="K45" s="127"/>
      <c r="L45" s="128"/>
      <c r="M45" s="126"/>
      <c r="N45" s="124"/>
      <c r="O45" s="127"/>
      <c r="P45" s="128"/>
      <c r="Q45" s="80"/>
      <c r="R45" s="81"/>
      <c r="S45" s="17"/>
      <c r="T45" s="17"/>
      <c r="U45" s="17"/>
      <c r="V45" s="17"/>
      <c r="W45" s="19"/>
    </row>
    <row r="46" spans="1:23" ht="14.25" customHeight="1" x14ac:dyDescent="0.2">
      <c r="A46" s="207"/>
      <c r="B46" s="56">
        <v>3</v>
      </c>
      <c r="C46" s="141"/>
      <c r="D46" s="186"/>
      <c r="E46" s="126"/>
      <c r="F46" s="124"/>
      <c r="G46" s="127"/>
      <c r="H46" s="128"/>
      <c r="I46" s="126"/>
      <c r="J46" s="124"/>
      <c r="K46" s="127"/>
      <c r="L46" s="128"/>
      <c r="M46" s="126"/>
      <c r="N46" s="124"/>
      <c r="O46" s="127"/>
      <c r="P46" s="128"/>
      <c r="Q46" s="80"/>
      <c r="R46" s="81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1"/>
      <c r="D47" s="186"/>
      <c r="E47" s="126"/>
      <c r="F47" s="124"/>
      <c r="G47" s="127"/>
      <c r="H47" s="128"/>
      <c r="I47" s="126"/>
      <c r="J47" s="124"/>
      <c r="K47" s="127"/>
      <c r="L47" s="128"/>
      <c r="M47" s="126"/>
      <c r="N47" s="124"/>
      <c r="O47" s="127"/>
      <c r="P47" s="128"/>
      <c r="Q47" s="80"/>
      <c r="R47" s="81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1"/>
      <c r="D48" s="186"/>
      <c r="E48" s="126"/>
      <c r="F48" s="124"/>
      <c r="G48" s="127"/>
      <c r="H48" s="128"/>
      <c r="I48" s="126"/>
      <c r="J48" s="124"/>
      <c r="K48" s="127"/>
      <c r="L48" s="128"/>
      <c r="M48" s="126"/>
      <c r="N48" s="124"/>
      <c r="O48" s="127"/>
      <c r="P48" s="128"/>
      <c r="Q48" s="80"/>
      <c r="R48" s="81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1"/>
      <c r="D49" s="186"/>
      <c r="E49" s="126"/>
      <c r="F49" s="124"/>
      <c r="G49" s="127"/>
      <c r="H49" s="128"/>
      <c r="I49" s="126"/>
      <c r="J49" s="124"/>
      <c r="K49" s="127"/>
      <c r="L49" s="128"/>
      <c r="M49" s="126"/>
      <c r="N49" s="124"/>
      <c r="O49" s="127"/>
      <c r="P49" s="128"/>
      <c r="Q49" s="80"/>
      <c r="R49" s="81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1"/>
      <c r="D50" s="187"/>
      <c r="E50" s="126"/>
      <c r="F50" s="124"/>
      <c r="G50" s="127"/>
      <c r="H50" s="128"/>
      <c r="I50" s="126"/>
      <c r="J50" s="124"/>
      <c r="K50" s="127"/>
      <c r="L50" s="128"/>
      <c r="M50" s="126"/>
      <c r="N50" s="124"/>
      <c r="O50" s="127"/>
      <c r="P50" s="128"/>
      <c r="Q50" s="80"/>
      <c r="R50" s="81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1"/>
      <c r="D51" s="187"/>
      <c r="E51" s="126"/>
      <c r="F51" s="126"/>
      <c r="G51" s="127"/>
      <c r="H51" s="131"/>
      <c r="I51" s="126"/>
      <c r="J51" s="126"/>
      <c r="K51" s="127"/>
      <c r="L51" s="131"/>
      <c r="M51" s="126"/>
      <c r="N51" s="126"/>
      <c r="O51" s="127"/>
      <c r="P51" s="131"/>
      <c r="Q51" s="127"/>
      <c r="R51" s="128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3"/>
      <c r="D52" s="142"/>
      <c r="E52" s="126"/>
      <c r="F52" s="126"/>
      <c r="G52" s="127"/>
      <c r="H52" s="131"/>
      <c r="I52" s="126"/>
      <c r="J52" s="126"/>
      <c r="K52" s="127"/>
      <c r="L52" s="131"/>
      <c r="M52" s="126"/>
      <c r="N52" s="126"/>
      <c r="O52" s="127"/>
      <c r="P52" s="131"/>
      <c r="Q52" s="127"/>
      <c r="R52" s="128"/>
      <c r="S52" s="17"/>
      <c r="T52" s="17"/>
      <c r="U52" s="17"/>
      <c r="V52" s="17"/>
      <c r="W52" s="19"/>
    </row>
    <row r="53" spans="1:23" ht="14.25" customHeight="1" x14ac:dyDescent="0.2">
      <c r="A53" s="55"/>
      <c r="B53" s="199">
        <v>10</v>
      </c>
      <c r="C53" s="200"/>
      <c r="D53" s="201"/>
      <c r="E53" s="126"/>
      <c r="F53" s="126"/>
      <c r="G53" s="132"/>
      <c r="H53" s="134"/>
      <c r="I53" s="126"/>
      <c r="J53" s="126"/>
      <c r="K53" s="132"/>
      <c r="L53" s="134"/>
      <c r="M53" s="126"/>
      <c r="N53" s="126"/>
      <c r="O53" s="132"/>
      <c r="P53" s="134"/>
      <c r="Q53" s="132"/>
      <c r="R53" s="133"/>
      <c r="S53" s="17"/>
      <c r="T53" s="17"/>
      <c r="U53" s="17"/>
      <c r="V53" s="17"/>
      <c r="W53" s="19"/>
    </row>
    <row r="54" spans="1:23" ht="14.25" customHeight="1" x14ac:dyDescent="0.2">
      <c r="A54" s="144"/>
      <c r="B54" s="145"/>
      <c r="C54" s="145"/>
      <c r="D54" s="146" t="s">
        <v>46</v>
      </c>
      <c r="E54" s="95" t="e">
        <f>AVERAGE(E44:E53)</f>
        <v>#DIV/0!</v>
      </c>
      <c r="F54" s="99" t="e">
        <f t="shared" ref="F54:Q54" si="14">AVERAGE(F44:F53)</f>
        <v>#DIV/0!</v>
      </c>
      <c r="G54" s="95" t="e">
        <f t="shared" si="14"/>
        <v>#DIV/0!</v>
      </c>
      <c r="H54" s="96" t="e">
        <f t="shared" si="14"/>
        <v>#DIV/0!</v>
      </c>
      <c r="I54" s="99" t="e">
        <f t="shared" si="14"/>
        <v>#DIV/0!</v>
      </c>
      <c r="J54" s="99" t="e">
        <f t="shared" si="14"/>
        <v>#DIV/0!</v>
      </c>
      <c r="K54" s="95" t="e">
        <f t="shared" si="14"/>
        <v>#DIV/0!</v>
      </c>
      <c r="L54" s="96" t="e">
        <f t="shared" si="14"/>
        <v>#DIV/0!</v>
      </c>
      <c r="M54" s="99" t="e">
        <f t="shared" si="14"/>
        <v>#DIV/0!</v>
      </c>
      <c r="N54" s="99" t="e">
        <f t="shared" si="14"/>
        <v>#DIV/0!</v>
      </c>
      <c r="O54" s="95" t="e">
        <f t="shared" si="14"/>
        <v>#DIV/0!</v>
      </c>
      <c r="P54" s="96" t="e">
        <f t="shared" si="14"/>
        <v>#DIV/0!</v>
      </c>
      <c r="Q54" s="99" t="e">
        <f t="shared" si="14"/>
        <v>#DIV/0!</v>
      </c>
      <c r="R54" s="96" t="e">
        <f>AVERAGE(R44:R53)</f>
        <v>#DIV/0!</v>
      </c>
      <c r="S54" s="17"/>
      <c r="T54" s="17"/>
      <c r="U54" s="17"/>
      <c r="V54" s="17"/>
      <c r="W54" s="19"/>
    </row>
    <row r="55" spans="1:23" ht="14.25" customHeight="1" x14ac:dyDescent="0.2">
      <c r="A55" s="147"/>
      <c r="B55" s="148"/>
      <c r="C55" s="148"/>
      <c r="D55" s="149" t="s">
        <v>47</v>
      </c>
      <c r="E55" s="101" t="e">
        <f>STDEV(E44:E53)/SQRT(COUNT(E44:E53))</f>
        <v>#DIV/0!</v>
      </c>
      <c r="F55" s="103" t="e">
        <f t="shared" ref="F55:Q55" si="15">STDEV(F44:F53)/SQRT(COUNT(F44:F53))</f>
        <v>#DIV/0!</v>
      </c>
      <c r="G55" s="101" t="e">
        <f t="shared" si="15"/>
        <v>#DIV/0!</v>
      </c>
      <c r="H55" s="102" t="e">
        <f t="shared" si="15"/>
        <v>#DIV/0!</v>
      </c>
      <c r="I55" s="103" t="e">
        <f t="shared" si="15"/>
        <v>#DIV/0!</v>
      </c>
      <c r="J55" s="103" t="e">
        <f t="shared" si="15"/>
        <v>#DIV/0!</v>
      </c>
      <c r="K55" s="101" t="e">
        <f t="shared" si="15"/>
        <v>#DIV/0!</v>
      </c>
      <c r="L55" s="102" t="e">
        <f t="shared" si="15"/>
        <v>#DIV/0!</v>
      </c>
      <c r="M55" s="103" t="e">
        <f t="shared" si="15"/>
        <v>#DIV/0!</v>
      </c>
      <c r="N55" s="103" t="e">
        <f t="shared" si="15"/>
        <v>#DIV/0!</v>
      </c>
      <c r="O55" s="101" t="e">
        <f t="shared" si="15"/>
        <v>#DIV/0!</v>
      </c>
      <c r="P55" s="102" t="e">
        <f t="shared" si="15"/>
        <v>#DIV/0!</v>
      </c>
      <c r="Q55" s="103" t="e">
        <f t="shared" si="15"/>
        <v>#DIV/0!</v>
      </c>
      <c r="R55" s="102" t="e">
        <f>STDEV(R44:R53)/SQRT(COUNT(R44:R53))</f>
        <v>#DIV/0!</v>
      </c>
      <c r="S55" s="17"/>
      <c r="T55" s="17"/>
      <c r="U55" s="17"/>
      <c r="V55" s="17"/>
      <c r="W55" s="19"/>
    </row>
    <row r="56" spans="1:23" ht="14.25" customHeight="1" x14ac:dyDescent="0.2">
      <c r="A56" s="150"/>
      <c r="B56" s="150"/>
      <c r="C56" s="150" t="s">
        <v>49</v>
      </c>
      <c r="D56" s="150" t="s">
        <v>50</v>
      </c>
      <c r="E56" s="151">
        <f>TTEST(E8:E17,E20:E29,2,2)</f>
        <v>0.82554085360065943</v>
      </c>
      <c r="F56" s="151">
        <f t="shared" ref="F56:R56" si="16">TTEST(F8:F17,F20:F29,2,2)</f>
        <v>0.82397714542931089</v>
      </c>
      <c r="G56" s="151">
        <f t="shared" si="16"/>
        <v>0.78506309087050452</v>
      </c>
      <c r="H56" s="151">
        <f t="shared" si="16"/>
        <v>0.72500709937656893</v>
      </c>
      <c r="I56" s="151">
        <f t="shared" si="16"/>
        <v>0.65465047314740965</v>
      </c>
      <c r="J56" s="151">
        <f t="shared" si="16"/>
        <v>0.87454136399840554</v>
      </c>
      <c r="K56" s="151">
        <f t="shared" si="16"/>
        <v>0.93892275115160273</v>
      </c>
      <c r="L56" s="151">
        <f t="shared" si="16"/>
        <v>0.85177411733822894</v>
      </c>
      <c r="M56" s="151">
        <f t="shared" si="16"/>
        <v>0.82010066710457818</v>
      </c>
      <c r="N56" s="151">
        <f t="shared" si="16"/>
        <v>0.98006709797987701</v>
      </c>
      <c r="O56" s="151">
        <f t="shared" si="16"/>
        <v>0.7303345215956637</v>
      </c>
      <c r="P56" s="151">
        <f t="shared" si="16"/>
        <v>0.47841132631563799</v>
      </c>
      <c r="Q56" s="151">
        <f t="shared" si="16"/>
        <v>0.84741172845676749</v>
      </c>
      <c r="R56" s="151">
        <f t="shared" si="16"/>
        <v>0.80678907851129533</v>
      </c>
      <c r="S56" s="17"/>
      <c r="T56" s="17"/>
      <c r="U56" s="17"/>
      <c r="V56" s="17"/>
      <c r="W56" s="19"/>
    </row>
    <row r="57" spans="1:23" ht="14.25" customHeight="1" x14ac:dyDescent="0.2">
      <c r="A57" s="150"/>
      <c r="B57" s="150"/>
      <c r="C57" s="150"/>
      <c r="D57" s="150" t="s">
        <v>58</v>
      </c>
      <c r="E57" s="151" t="e">
        <f>TTEST(E8:E17,E32:E41,2,2)</f>
        <v>#DIV/0!</v>
      </c>
      <c r="F57" s="151" t="e">
        <f t="shared" ref="F57:R57" si="17">TTEST(F8:F17,F32:F41,2,2)</f>
        <v>#DIV/0!</v>
      </c>
      <c r="G57" s="151" t="e">
        <f t="shared" si="17"/>
        <v>#DIV/0!</v>
      </c>
      <c r="H57" s="151" t="e">
        <f t="shared" si="17"/>
        <v>#DIV/0!</v>
      </c>
      <c r="I57" s="151" t="e">
        <f t="shared" si="17"/>
        <v>#DIV/0!</v>
      </c>
      <c r="J57" s="151" t="e">
        <f t="shared" si="17"/>
        <v>#DIV/0!</v>
      </c>
      <c r="K57" s="151" t="e">
        <f t="shared" si="17"/>
        <v>#DIV/0!</v>
      </c>
      <c r="L57" s="151" t="e">
        <f t="shared" si="17"/>
        <v>#DIV/0!</v>
      </c>
      <c r="M57" s="151" t="e">
        <f t="shared" si="17"/>
        <v>#DIV/0!</v>
      </c>
      <c r="N57" s="151" t="e">
        <f t="shared" si="17"/>
        <v>#DIV/0!</v>
      </c>
      <c r="O57" s="151" t="e">
        <f t="shared" si="17"/>
        <v>#DIV/0!</v>
      </c>
      <c r="P57" s="151" t="e">
        <f t="shared" si="17"/>
        <v>#DIV/0!</v>
      </c>
      <c r="Q57" s="151" t="e">
        <f t="shared" si="17"/>
        <v>#DIV/0!</v>
      </c>
      <c r="R57" s="151" t="e">
        <f t="shared" si="17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50"/>
      <c r="B58" s="150"/>
      <c r="C58" s="150"/>
      <c r="D58" s="150" t="s">
        <v>64</v>
      </c>
      <c r="E58" s="151" t="e">
        <f>TTEST(E8:E17,E44:E53,2,2)</f>
        <v>#DIV/0!</v>
      </c>
      <c r="F58" s="151" t="e">
        <f t="shared" ref="F58:R58" si="18">TTEST(F8:F17,F44:F53,2,2)</f>
        <v>#DIV/0!</v>
      </c>
      <c r="G58" s="151" t="e">
        <f t="shared" si="18"/>
        <v>#DIV/0!</v>
      </c>
      <c r="H58" s="151" t="e">
        <f t="shared" si="18"/>
        <v>#DIV/0!</v>
      </c>
      <c r="I58" s="151" t="e">
        <f t="shared" si="18"/>
        <v>#DIV/0!</v>
      </c>
      <c r="J58" s="151" t="e">
        <f t="shared" si="18"/>
        <v>#DIV/0!</v>
      </c>
      <c r="K58" s="151" t="e">
        <f t="shared" si="18"/>
        <v>#DIV/0!</v>
      </c>
      <c r="L58" s="151" t="e">
        <f t="shared" si="18"/>
        <v>#DIV/0!</v>
      </c>
      <c r="M58" s="151" t="e">
        <f t="shared" si="18"/>
        <v>#DIV/0!</v>
      </c>
      <c r="N58" s="151" t="e">
        <f t="shared" si="18"/>
        <v>#DIV/0!</v>
      </c>
      <c r="O58" s="151" t="e">
        <f t="shared" si="18"/>
        <v>#DIV/0!</v>
      </c>
      <c r="P58" s="151" t="e">
        <f t="shared" si="18"/>
        <v>#DIV/0!</v>
      </c>
      <c r="Q58" s="151" t="e">
        <f t="shared" si="18"/>
        <v>#DIV/0!</v>
      </c>
      <c r="R58" s="151" t="e">
        <f t="shared" si="18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50"/>
      <c r="B59" s="150"/>
      <c r="C59" s="150"/>
      <c r="D59" s="150" t="s">
        <v>59</v>
      </c>
      <c r="E59" s="151" t="e">
        <f>TTEST(E20:E29,E32:E41,2,2)</f>
        <v>#DIV/0!</v>
      </c>
      <c r="F59" s="151" t="e">
        <f t="shared" ref="F59:R59" si="19">TTEST(F20:F29,F32:F41,2,2)</f>
        <v>#DIV/0!</v>
      </c>
      <c r="G59" s="151" t="e">
        <f t="shared" si="19"/>
        <v>#DIV/0!</v>
      </c>
      <c r="H59" s="151" t="e">
        <f t="shared" si="19"/>
        <v>#DIV/0!</v>
      </c>
      <c r="I59" s="151" t="e">
        <f t="shared" si="19"/>
        <v>#DIV/0!</v>
      </c>
      <c r="J59" s="151" t="e">
        <f t="shared" si="19"/>
        <v>#DIV/0!</v>
      </c>
      <c r="K59" s="151" t="e">
        <f t="shared" si="19"/>
        <v>#DIV/0!</v>
      </c>
      <c r="L59" s="151" t="e">
        <f t="shared" si="19"/>
        <v>#DIV/0!</v>
      </c>
      <c r="M59" s="151" t="e">
        <f t="shared" si="19"/>
        <v>#DIV/0!</v>
      </c>
      <c r="N59" s="151" t="e">
        <f t="shared" si="19"/>
        <v>#DIV/0!</v>
      </c>
      <c r="O59" s="151" t="e">
        <f t="shared" si="19"/>
        <v>#DIV/0!</v>
      </c>
      <c r="P59" s="151" t="e">
        <f t="shared" si="19"/>
        <v>#DIV/0!</v>
      </c>
      <c r="Q59" s="151" t="e">
        <f t="shared" si="19"/>
        <v>#DIV/0!</v>
      </c>
      <c r="R59" s="151" t="e">
        <f t="shared" si="19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50"/>
      <c r="B60" s="150"/>
      <c r="C60" s="150"/>
      <c r="D60" s="150" t="s">
        <v>65</v>
      </c>
      <c r="E60" s="151" t="e">
        <f>TTEST(E20:E29,E44:E53,2,2)</f>
        <v>#DIV/0!</v>
      </c>
      <c r="F60" s="151" t="e">
        <f t="shared" ref="F60:R60" si="20">TTEST(F20:F29,F44:F53,2,2)</f>
        <v>#DIV/0!</v>
      </c>
      <c r="G60" s="151" t="e">
        <f t="shared" si="20"/>
        <v>#DIV/0!</v>
      </c>
      <c r="H60" s="151" t="e">
        <f t="shared" si="20"/>
        <v>#DIV/0!</v>
      </c>
      <c r="I60" s="151" t="e">
        <f t="shared" si="20"/>
        <v>#DIV/0!</v>
      </c>
      <c r="J60" s="151" t="e">
        <f t="shared" si="20"/>
        <v>#DIV/0!</v>
      </c>
      <c r="K60" s="151" t="e">
        <f t="shared" si="20"/>
        <v>#DIV/0!</v>
      </c>
      <c r="L60" s="151" t="e">
        <f t="shared" si="20"/>
        <v>#DIV/0!</v>
      </c>
      <c r="M60" s="151" t="e">
        <f t="shared" si="20"/>
        <v>#DIV/0!</v>
      </c>
      <c r="N60" s="151" t="e">
        <f t="shared" si="20"/>
        <v>#DIV/0!</v>
      </c>
      <c r="O60" s="151" t="e">
        <f t="shared" si="20"/>
        <v>#DIV/0!</v>
      </c>
      <c r="P60" s="151" t="e">
        <f t="shared" si="20"/>
        <v>#DIV/0!</v>
      </c>
      <c r="Q60" s="151" t="e">
        <f t="shared" si="20"/>
        <v>#DIV/0!</v>
      </c>
      <c r="R60" s="151" t="e">
        <f t="shared" si="20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50"/>
      <c r="B61" s="150"/>
      <c r="C61" s="150"/>
      <c r="D61" s="150" t="s">
        <v>66</v>
      </c>
      <c r="E61" s="151" t="e">
        <f>TTEST(E32:E41,E44:E53,2,2)</f>
        <v>#DIV/0!</v>
      </c>
      <c r="F61" s="151" t="e">
        <f t="shared" ref="F61:R61" si="21">TTEST(F32:F41,F44:F53,2,2)</f>
        <v>#DIV/0!</v>
      </c>
      <c r="G61" s="151" t="e">
        <f t="shared" si="21"/>
        <v>#DIV/0!</v>
      </c>
      <c r="H61" s="151" t="e">
        <f t="shared" si="21"/>
        <v>#DIV/0!</v>
      </c>
      <c r="I61" s="151" t="e">
        <f t="shared" si="21"/>
        <v>#DIV/0!</v>
      </c>
      <c r="J61" s="151" t="e">
        <f t="shared" si="21"/>
        <v>#DIV/0!</v>
      </c>
      <c r="K61" s="151" t="e">
        <f t="shared" si="21"/>
        <v>#DIV/0!</v>
      </c>
      <c r="L61" s="151" t="e">
        <f t="shared" si="21"/>
        <v>#DIV/0!</v>
      </c>
      <c r="M61" s="151" t="e">
        <f t="shared" si="21"/>
        <v>#DIV/0!</v>
      </c>
      <c r="N61" s="151" t="e">
        <f t="shared" si="21"/>
        <v>#DIV/0!</v>
      </c>
      <c r="O61" s="151" t="e">
        <f t="shared" si="21"/>
        <v>#DIV/0!</v>
      </c>
      <c r="P61" s="151" t="e">
        <f t="shared" si="21"/>
        <v>#DIV/0!</v>
      </c>
      <c r="Q61" s="151" t="e">
        <f t="shared" si="21"/>
        <v>#DIV/0!</v>
      </c>
      <c r="R61" s="151" t="e">
        <f t="shared" si="21"/>
        <v>#DIV/0!</v>
      </c>
      <c r="S61" s="17"/>
      <c r="T61" s="17"/>
      <c r="U61" s="17"/>
      <c r="V61" s="17"/>
      <c r="W61" s="19"/>
    </row>
    <row r="62" spans="1:23" ht="14.25" customHeight="1" x14ac:dyDescent="0.2">
      <c r="A62" s="163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44"/>
      <c r="T62" s="44"/>
      <c r="U62" s="44"/>
      <c r="V62" s="44"/>
      <c r="W62" s="45"/>
    </row>
  </sheetData>
  <sheetProtection algorithmName="SHA-512" hashValue="96DMTTfcOXhD7GpChVY0mExoYrvAKK0o5PHY+w5Th/oxyiYamS9dmsMl+LQbT7+vQguUK4EPs288mfz80Ft1HA==" saltValue="oQFTusn3dwR9d14Ud8ExmQ==" spinCount="100000" sheet="1" objects="1" scenarios="1"/>
  <mergeCells count="11">
    <mergeCell ref="Q5:R5"/>
    <mergeCell ref="E5:F5"/>
    <mergeCell ref="G5:H5"/>
    <mergeCell ref="I5:J5"/>
    <mergeCell ref="K5:L5"/>
    <mergeCell ref="M5:N5"/>
    <mergeCell ref="A9:A10"/>
    <mergeCell ref="A21:A22"/>
    <mergeCell ref="A33:A34"/>
    <mergeCell ref="A45:A46"/>
    <mergeCell ref="O5:P5"/>
  </mergeCells>
  <conditionalFormatting sqref="E56:R61">
    <cfRule type="cellIs" dxfId="6" priority="1" operator="lessThan">
      <formula>0.05</formula>
    </cfRule>
    <cfRule type="cellIs" dxfId="5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2"/>
  <sheetViews>
    <sheetView zoomScaleNormal="100" workbookViewId="0">
      <selection activeCell="P18" sqref="P18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1" t="s">
        <v>31</v>
      </c>
      <c r="F5" s="212"/>
      <c r="G5" s="211" t="s">
        <v>32</v>
      </c>
      <c r="H5" s="212"/>
      <c r="I5" s="211" t="s">
        <v>33</v>
      </c>
      <c r="J5" s="212"/>
      <c r="K5" s="211" t="s">
        <v>34</v>
      </c>
      <c r="L5" s="212"/>
      <c r="M5" s="211" t="s">
        <v>35</v>
      </c>
      <c r="N5" s="212"/>
      <c r="O5" s="211" t="s">
        <v>36</v>
      </c>
      <c r="P5" s="212"/>
      <c r="Q5" s="211" t="s">
        <v>37</v>
      </c>
      <c r="R5" s="212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38</v>
      </c>
      <c r="F6" s="46" t="s">
        <v>39</v>
      </c>
      <c r="G6" s="26" t="s">
        <v>38</v>
      </c>
      <c r="H6" s="47" t="s">
        <v>39</v>
      </c>
      <c r="I6" s="48" t="s">
        <v>38</v>
      </c>
      <c r="J6" s="46" t="s">
        <v>39</v>
      </c>
      <c r="K6" s="26" t="s">
        <v>38</v>
      </c>
      <c r="L6" s="47" t="s">
        <v>39</v>
      </c>
      <c r="M6" s="26" t="s">
        <v>38</v>
      </c>
      <c r="N6" s="47" t="s">
        <v>39</v>
      </c>
      <c r="O6" s="26" t="s">
        <v>38</v>
      </c>
      <c r="P6" s="47" t="s">
        <v>39</v>
      </c>
      <c r="Q6" s="26" t="s">
        <v>38</v>
      </c>
      <c r="R6" s="47" t="s">
        <v>39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40</v>
      </c>
      <c r="C7" s="30" t="s">
        <v>41</v>
      </c>
      <c r="D7" s="31" t="s">
        <v>42</v>
      </c>
      <c r="E7" s="32" t="s">
        <v>43</v>
      </c>
      <c r="F7" s="33" t="s">
        <v>44</v>
      </c>
      <c r="G7" s="32" t="s">
        <v>43</v>
      </c>
      <c r="H7" s="32" t="s">
        <v>44</v>
      </c>
      <c r="I7" s="49" t="s">
        <v>43</v>
      </c>
      <c r="J7" s="33" t="s">
        <v>44</v>
      </c>
      <c r="K7" s="32" t="s">
        <v>43</v>
      </c>
      <c r="L7" s="32" t="s">
        <v>44</v>
      </c>
      <c r="M7" s="32" t="s">
        <v>43</v>
      </c>
      <c r="N7" s="32" t="s">
        <v>44</v>
      </c>
      <c r="O7" s="32" t="s">
        <v>43</v>
      </c>
      <c r="P7" s="32" t="s">
        <v>44</v>
      </c>
      <c r="Q7" s="32" t="s">
        <v>43</v>
      </c>
      <c r="R7" s="32" t="s">
        <v>44</v>
      </c>
      <c r="S7" s="17"/>
      <c r="T7" s="17"/>
      <c r="U7" s="17"/>
      <c r="V7" s="17"/>
      <c r="W7" s="19"/>
    </row>
    <row r="8" spans="1:23" ht="14.25" customHeight="1" x14ac:dyDescent="0.2">
      <c r="A8" s="34" t="s">
        <v>45</v>
      </c>
      <c r="B8" s="73">
        <v>1</v>
      </c>
      <c r="C8" s="74" t="s">
        <v>88</v>
      </c>
      <c r="D8" s="179">
        <v>5997</v>
      </c>
      <c r="E8" s="75">
        <v>95.711200000000005</v>
      </c>
      <c r="F8" s="76">
        <v>9</v>
      </c>
      <c r="G8" s="75">
        <v>97.833399999999997</v>
      </c>
      <c r="H8" s="76">
        <v>4</v>
      </c>
      <c r="I8" s="75">
        <v>92.900099999999995</v>
      </c>
      <c r="J8" s="76">
        <v>9</v>
      </c>
      <c r="K8" s="75">
        <v>85.222399999999993</v>
      </c>
      <c r="L8" s="76">
        <v>11</v>
      </c>
      <c r="M8" s="75">
        <v>96.8</v>
      </c>
      <c r="N8" s="76">
        <v>6</v>
      </c>
      <c r="O8" s="165">
        <v>94.955600000000004</v>
      </c>
      <c r="P8" s="166">
        <v>5</v>
      </c>
      <c r="Q8" s="77">
        <f>AVERAGE(E8,G8,I8,K8,M8,O8)</f>
        <v>93.903783333333351</v>
      </c>
      <c r="R8" s="76">
        <f>SUM(F8,H8,J8,L8,N8,P8)</f>
        <v>44</v>
      </c>
      <c r="S8" s="17"/>
      <c r="T8" s="17"/>
      <c r="U8" s="17"/>
      <c r="V8" s="17"/>
      <c r="W8" s="19"/>
    </row>
    <row r="9" spans="1:23" ht="14.25" customHeight="1" x14ac:dyDescent="0.2">
      <c r="A9" s="204" t="s">
        <v>83</v>
      </c>
      <c r="B9" s="79">
        <v>2</v>
      </c>
      <c r="C9" s="74" t="s">
        <v>88</v>
      </c>
      <c r="D9" s="179">
        <v>5998</v>
      </c>
      <c r="E9" s="80">
        <v>86.200100000000006</v>
      </c>
      <c r="F9" s="81">
        <v>13</v>
      </c>
      <c r="G9" s="80">
        <v>92.011200000000002</v>
      </c>
      <c r="H9" s="81">
        <v>11</v>
      </c>
      <c r="I9" s="80">
        <v>65.511499999999998</v>
      </c>
      <c r="J9" s="81">
        <v>19</v>
      </c>
      <c r="K9" s="80">
        <v>84.144599999999997</v>
      </c>
      <c r="L9" s="81">
        <v>15</v>
      </c>
      <c r="M9" s="80">
        <v>89.100099999999998</v>
      </c>
      <c r="N9" s="81">
        <v>12</v>
      </c>
      <c r="O9" s="109">
        <v>78.800200000000004</v>
      </c>
      <c r="P9" s="110">
        <v>12</v>
      </c>
      <c r="Q9" s="80">
        <f t="shared" ref="Q9:Q11" si="0">AVERAGE(E9,G9,I9,K9,M9,O9)</f>
        <v>82.627949999999998</v>
      </c>
      <c r="R9" s="81">
        <f t="shared" ref="R9:R11" si="1">SUM(F9,H9,J9,L9,N9,P9)</f>
        <v>82</v>
      </c>
      <c r="S9" s="17"/>
      <c r="T9" s="17"/>
      <c r="U9" s="17"/>
      <c r="V9" s="17"/>
      <c r="W9" s="19"/>
    </row>
    <row r="10" spans="1:23" ht="14.25" customHeight="1" x14ac:dyDescent="0.2">
      <c r="A10" s="204"/>
      <c r="B10" s="79">
        <v>3</v>
      </c>
      <c r="C10" s="74" t="s">
        <v>88</v>
      </c>
      <c r="D10" s="179">
        <v>5999</v>
      </c>
      <c r="E10" s="80">
        <v>90.411199999999994</v>
      </c>
      <c r="F10" s="81">
        <v>7</v>
      </c>
      <c r="G10" s="80">
        <v>96.088899999999995</v>
      </c>
      <c r="H10" s="81">
        <v>10</v>
      </c>
      <c r="I10" s="80">
        <v>86.255700000000004</v>
      </c>
      <c r="J10" s="81">
        <v>10</v>
      </c>
      <c r="K10" s="80">
        <v>93.344499999999996</v>
      </c>
      <c r="L10" s="81">
        <v>8</v>
      </c>
      <c r="M10" s="80">
        <v>72.989199999999997</v>
      </c>
      <c r="N10" s="81">
        <v>20</v>
      </c>
      <c r="O10" s="109">
        <v>83.089100000000002</v>
      </c>
      <c r="P10" s="110">
        <v>11</v>
      </c>
      <c r="Q10" s="80">
        <f t="shared" si="0"/>
        <v>87.02976666666666</v>
      </c>
      <c r="R10" s="81">
        <f t="shared" si="1"/>
        <v>66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88</v>
      </c>
      <c r="D11" s="179">
        <v>6000</v>
      </c>
      <c r="E11" s="80">
        <v>74.944699999999997</v>
      </c>
      <c r="F11" s="81">
        <v>50</v>
      </c>
      <c r="G11" s="80">
        <v>43.376300000000001</v>
      </c>
      <c r="H11" s="81">
        <v>33</v>
      </c>
      <c r="I11" s="80">
        <v>54.335799999999999</v>
      </c>
      <c r="J11" s="81">
        <v>29</v>
      </c>
      <c r="K11" s="80">
        <v>72.655799999999999</v>
      </c>
      <c r="L11" s="81">
        <v>18</v>
      </c>
      <c r="M11" s="80">
        <v>67.200299999999999</v>
      </c>
      <c r="N11" s="81">
        <v>24</v>
      </c>
      <c r="O11" s="109">
        <v>93.044499999999999</v>
      </c>
      <c r="P11" s="110">
        <v>14</v>
      </c>
      <c r="Q11" s="80">
        <f t="shared" si="0"/>
        <v>67.5929</v>
      </c>
      <c r="R11" s="81">
        <f t="shared" si="1"/>
        <v>168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/>
      <c r="D12" s="179"/>
      <c r="E12" s="80"/>
      <c r="F12" s="81"/>
      <c r="G12" s="80"/>
      <c r="H12" s="81"/>
      <c r="I12" s="80"/>
      <c r="J12" s="81"/>
      <c r="K12" s="80"/>
      <c r="L12" s="81"/>
      <c r="M12" s="80"/>
      <c r="N12" s="81"/>
      <c r="O12" s="109"/>
      <c r="P12" s="110"/>
      <c r="Q12" s="80"/>
      <c r="R12" s="81"/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/>
      <c r="D13" s="179"/>
      <c r="E13" s="80"/>
      <c r="F13" s="81"/>
      <c r="G13" s="80"/>
      <c r="H13" s="81"/>
      <c r="I13" s="80"/>
      <c r="J13" s="81"/>
      <c r="K13" s="80"/>
      <c r="L13" s="81"/>
      <c r="M13" s="80"/>
      <c r="N13" s="81"/>
      <c r="O13" s="109"/>
      <c r="P13" s="110"/>
      <c r="Q13" s="80"/>
      <c r="R13" s="81"/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/>
      <c r="D14" s="189"/>
      <c r="E14" s="80"/>
      <c r="F14" s="81"/>
      <c r="G14" s="80"/>
      <c r="H14" s="81"/>
      <c r="I14" s="80"/>
      <c r="J14" s="81"/>
      <c r="K14" s="80"/>
      <c r="L14" s="81"/>
      <c r="M14" s="80"/>
      <c r="N14" s="81"/>
      <c r="O14" s="109"/>
      <c r="P14" s="108"/>
      <c r="Q14" s="80"/>
      <c r="R14" s="81"/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/>
      <c r="D15" s="189"/>
      <c r="E15" s="80"/>
      <c r="F15" s="81"/>
      <c r="G15" s="80"/>
      <c r="H15" s="81"/>
      <c r="I15" s="80"/>
      <c r="J15" s="81"/>
      <c r="K15" s="80"/>
      <c r="L15" s="81"/>
      <c r="M15" s="80"/>
      <c r="N15" s="81"/>
      <c r="O15" s="109"/>
      <c r="P15" s="108"/>
      <c r="Q15" s="80"/>
      <c r="R15" s="81"/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1"/>
      <c r="G16" s="80"/>
      <c r="H16" s="81"/>
      <c r="I16" s="80"/>
      <c r="J16" s="81"/>
      <c r="K16" s="80"/>
      <c r="L16" s="81"/>
      <c r="M16" s="80"/>
      <c r="N16" s="81"/>
      <c r="O16" s="109"/>
      <c r="P16" s="108"/>
      <c r="Q16" s="80"/>
      <c r="R16" s="88"/>
      <c r="S16" s="17"/>
      <c r="T16" s="17"/>
      <c r="U16" s="17"/>
      <c r="V16" s="17"/>
      <c r="W16" s="19"/>
    </row>
    <row r="17" spans="1:23" ht="14.25" customHeight="1" x14ac:dyDescent="0.2">
      <c r="A17" s="35"/>
      <c r="B17" s="190">
        <v>10</v>
      </c>
      <c r="C17" s="191"/>
      <c r="D17" s="192"/>
      <c r="E17" s="80"/>
      <c r="F17" s="81"/>
      <c r="G17" s="80"/>
      <c r="H17" s="81"/>
      <c r="I17" s="80"/>
      <c r="J17" s="81"/>
      <c r="K17" s="80"/>
      <c r="L17" s="81"/>
      <c r="M17" s="80"/>
      <c r="N17" s="81"/>
      <c r="O17" s="80"/>
      <c r="P17" s="81"/>
      <c r="Q17" s="87"/>
      <c r="R17" s="88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46</v>
      </c>
      <c r="E18" s="95">
        <f>AVERAGE(E8:E17)</f>
        <v>86.816800000000001</v>
      </c>
      <c r="F18" s="96">
        <f t="shared" ref="F18:R18" si="2">AVERAGE(F8:F17)</f>
        <v>19.75</v>
      </c>
      <c r="G18" s="95">
        <f t="shared" si="2"/>
        <v>82.327449999999999</v>
      </c>
      <c r="H18" s="96">
        <f t="shared" si="2"/>
        <v>14.5</v>
      </c>
      <c r="I18" s="99">
        <f t="shared" si="2"/>
        <v>74.750775000000004</v>
      </c>
      <c r="J18" s="99">
        <f t="shared" si="2"/>
        <v>16.75</v>
      </c>
      <c r="K18" s="95">
        <f t="shared" si="2"/>
        <v>83.841825</v>
      </c>
      <c r="L18" s="96">
        <f t="shared" si="2"/>
        <v>13</v>
      </c>
      <c r="M18" s="99">
        <f t="shared" si="2"/>
        <v>81.522400000000005</v>
      </c>
      <c r="N18" s="99">
        <f t="shared" si="2"/>
        <v>15.5</v>
      </c>
      <c r="O18" s="95">
        <f t="shared" si="2"/>
        <v>87.472350000000006</v>
      </c>
      <c r="P18" s="96">
        <f t="shared" si="2"/>
        <v>10.5</v>
      </c>
      <c r="Q18" s="99">
        <f t="shared" si="2"/>
        <v>82.788600000000002</v>
      </c>
      <c r="R18" s="96">
        <f t="shared" si="2"/>
        <v>90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47</v>
      </c>
      <c r="E19" s="101">
        <f>STDEV(E8:E17)/SQRT(COUNT(E8:E17))</f>
        <v>4.4098104647478911</v>
      </c>
      <c r="F19" s="102">
        <f t="shared" ref="F19:R19" si="3">STDEV(F8:F17)/SQRT(COUNT(F8:F17))</f>
        <v>10.160175523418218</v>
      </c>
      <c r="G19" s="101">
        <f t="shared" si="3"/>
        <v>13.040894306916478</v>
      </c>
      <c r="H19" s="102">
        <f t="shared" si="3"/>
        <v>6.3574103742535497</v>
      </c>
      <c r="I19" s="103">
        <f t="shared" si="3"/>
        <v>8.9624062244629137</v>
      </c>
      <c r="J19" s="103">
        <f t="shared" si="3"/>
        <v>4.6614554236489987</v>
      </c>
      <c r="K19" s="101">
        <f t="shared" si="3"/>
        <v>4.2566188409689278</v>
      </c>
      <c r="L19" s="102">
        <f t="shared" si="3"/>
        <v>2.1984843263788196</v>
      </c>
      <c r="M19" s="103">
        <f t="shared" si="3"/>
        <v>6.8845518475545351</v>
      </c>
      <c r="N19" s="103">
        <f t="shared" si="3"/>
        <v>4.0311288741492746</v>
      </c>
      <c r="O19" s="101">
        <f t="shared" si="3"/>
        <v>3.8887332167215241</v>
      </c>
      <c r="P19" s="102">
        <f t="shared" si="3"/>
        <v>1.9364916731037085</v>
      </c>
      <c r="Q19" s="103">
        <f t="shared" si="3"/>
        <v>5.5712797911891698</v>
      </c>
      <c r="R19" s="102">
        <f t="shared" si="3"/>
        <v>27.141603981096377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48</v>
      </c>
      <c r="B20" s="37">
        <v>1</v>
      </c>
      <c r="C20" s="104" t="s">
        <v>84</v>
      </c>
      <c r="D20" s="180">
        <v>792</v>
      </c>
      <c r="E20" s="82">
        <v>89.5334</v>
      </c>
      <c r="F20" s="81">
        <v>19</v>
      </c>
      <c r="G20" s="82">
        <v>81.800200000000004</v>
      </c>
      <c r="H20" s="81">
        <v>15</v>
      </c>
      <c r="I20" s="82">
        <v>75.963899999999995</v>
      </c>
      <c r="J20" s="81">
        <v>17</v>
      </c>
      <c r="K20" s="82">
        <v>74.803299999999993</v>
      </c>
      <c r="L20" s="81">
        <v>20</v>
      </c>
      <c r="M20" s="82">
        <v>62.850900000000003</v>
      </c>
      <c r="N20" s="81">
        <v>21</v>
      </c>
      <c r="O20" s="107">
        <v>67.3215</v>
      </c>
      <c r="P20" s="108">
        <v>26</v>
      </c>
      <c r="Q20" s="80">
        <f t="shared" ref="Q20" si="4">AVERAGE(E20,G20,I20,K20,M20,O20)</f>
        <v>75.378866666666667</v>
      </c>
      <c r="R20" s="81">
        <f t="shared" ref="R20" si="5">SUM(F20,H20,J20,L20,N20,P20)</f>
        <v>118</v>
      </c>
      <c r="S20" s="17"/>
      <c r="T20" s="17"/>
      <c r="U20" s="17"/>
      <c r="V20" s="17"/>
      <c r="W20" s="19"/>
    </row>
    <row r="21" spans="1:23" ht="14.25" customHeight="1" x14ac:dyDescent="0.2">
      <c r="A21" s="205" t="s">
        <v>82</v>
      </c>
      <c r="B21" s="39">
        <v>2</v>
      </c>
      <c r="C21" s="105" t="s">
        <v>84</v>
      </c>
      <c r="D21" s="181">
        <v>793</v>
      </c>
      <c r="E21" s="82">
        <v>76.121499999999997</v>
      </c>
      <c r="F21" s="81">
        <v>28</v>
      </c>
      <c r="G21" s="82">
        <v>63.810499999999998</v>
      </c>
      <c r="H21" s="81">
        <v>28</v>
      </c>
      <c r="I21" s="82">
        <v>53.535800000000002</v>
      </c>
      <c r="J21" s="81">
        <v>22</v>
      </c>
      <c r="K21" s="82">
        <v>70.896299999999997</v>
      </c>
      <c r="L21" s="81">
        <v>24</v>
      </c>
      <c r="M21" s="82">
        <v>70.459900000000005</v>
      </c>
      <c r="N21" s="81">
        <v>21</v>
      </c>
      <c r="O21" s="107">
        <v>85.944599999999994</v>
      </c>
      <c r="P21" s="108">
        <v>23</v>
      </c>
      <c r="Q21" s="80">
        <f t="shared" ref="Q21:Q22" si="6">AVERAGE(E21,G21,I21,K21,M21,O21)</f>
        <v>70.128100000000003</v>
      </c>
      <c r="R21" s="81">
        <f t="shared" ref="R21:R22" si="7">SUM(F21,H21,J21,L21,N21,P21)</f>
        <v>146</v>
      </c>
      <c r="S21" s="17"/>
      <c r="T21" s="17"/>
      <c r="U21" s="17"/>
      <c r="V21" s="17"/>
      <c r="W21" s="19"/>
    </row>
    <row r="22" spans="1:23" ht="14.25" customHeight="1" x14ac:dyDescent="0.2">
      <c r="A22" s="205"/>
      <c r="B22" s="39">
        <v>3</v>
      </c>
      <c r="C22" s="105" t="s">
        <v>84</v>
      </c>
      <c r="D22" s="181">
        <v>794</v>
      </c>
      <c r="E22" s="82">
        <v>88.877899999999997</v>
      </c>
      <c r="F22" s="81">
        <v>14</v>
      </c>
      <c r="G22" s="82">
        <v>97.544499999999999</v>
      </c>
      <c r="H22" s="81">
        <v>7</v>
      </c>
      <c r="I22" s="82">
        <v>97.044499999999999</v>
      </c>
      <c r="J22" s="81">
        <v>7</v>
      </c>
      <c r="K22" s="82">
        <v>98.633300000000006</v>
      </c>
      <c r="L22" s="81">
        <v>6</v>
      </c>
      <c r="M22" s="82">
        <v>99.522199999999998</v>
      </c>
      <c r="N22" s="81">
        <v>2</v>
      </c>
      <c r="O22" s="107">
        <v>98.8</v>
      </c>
      <c r="P22" s="108">
        <v>3</v>
      </c>
      <c r="Q22" s="80">
        <f t="shared" si="6"/>
        <v>96.737066666666678</v>
      </c>
      <c r="R22" s="81">
        <f t="shared" si="7"/>
        <v>39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5" t="s">
        <v>84</v>
      </c>
      <c r="D23" s="181">
        <v>795</v>
      </c>
      <c r="E23" s="82">
        <v>90.522300000000001</v>
      </c>
      <c r="F23" s="81">
        <v>24</v>
      </c>
      <c r="G23" s="82">
        <v>73.200299999999999</v>
      </c>
      <c r="H23" s="81">
        <v>12</v>
      </c>
      <c r="I23" s="82">
        <v>92.811199999999999</v>
      </c>
      <c r="J23" s="81">
        <v>6</v>
      </c>
      <c r="K23" s="82">
        <v>95.966700000000003</v>
      </c>
      <c r="L23" s="81">
        <v>7</v>
      </c>
      <c r="M23" s="82">
        <v>91.066800000000001</v>
      </c>
      <c r="N23" s="81">
        <v>14</v>
      </c>
      <c r="O23" s="107">
        <v>98.022199999999998</v>
      </c>
      <c r="P23" s="108">
        <v>4</v>
      </c>
      <c r="Q23" s="80">
        <f t="shared" ref="Q23" si="8">AVERAGE(E23,G23,I23,K23,M23,O23)</f>
        <v>90.264916666666679</v>
      </c>
      <c r="R23" s="81">
        <f t="shared" ref="R23" si="9">SUM(F23,H23,J23,L23,N23,P23)</f>
        <v>67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5"/>
      <c r="D24" s="181"/>
      <c r="E24" s="107"/>
      <c r="F24" s="108"/>
      <c r="G24" s="107"/>
      <c r="H24" s="108"/>
      <c r="I24" s="107"/>
      <c r="J24" s="108"/>
      <c r="K24" s="107"/>
      <c r="L24" s="108"/>
      <c r="M24" s="107"/>
      <c r="N24" s="108"/>
      <c r="O24" s="107"/>
      <c r="P24" s="108"/>
      <c r="Q24" s="80"/>
      <c r="R24" s="81"/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5"/>
      <c r="D25" s="181"/>
      <c r="E25" s="107"/>
      <c r="F25" s="108"/>
      <c r="G25" s="107"/>
      <c r="H25" s="108"/>
      <c r="I25" s="107"/>
      <c r="J25" s="108"/>
      <c r="K25" s="107"/>
      <c r="L25" s="108"/>
      <c r="M25" s="107"/>
      <c r="N25" s="108"/>
      <c r="O25" s="107"/>
      <c r="P25" s="108"/>
      <c r="Q25" s="80"/>
      <c r="R25" s="81"/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5"/>
      <c r="D26" s="188"/>
      <c r="E26" s="109"/>
      <c r="F26" s="108"/>
      <c r="G26" s="109"/>
      <c r="H26" s="108"/>
      <c r="I26" s="109"/>
      <c r="J26" s="108"/>
      <c r="K26" s="109"/>
      <c r="L26" s="108"/>
      <c r="M26" s="109"/>
      <c r="N26" s="108"/>
      <c r="O26" s="109"/>
      <c r="P26" s="108"/>
      <c r="Q26" s="80"/>
      <c r="R26" s="81"/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5"/>
      <c r="D27" s="188"/>
      <c r="E27" s="109"/>
      <c r="F27" s="108"/>
      <c r="G27" s="109"/>
      <c r="H27" s="108"/>
      <c r="I27" s="109"/>
      <c r="J27" s="108"/>
      <c r="K27" s="109"/>
      <c r="L27" s="108"/>
      <c r="M27" s="109"/>
      <c r="N27" s="108"/>
      <c r="O27" s="109"/>
      <c r="P27" s="108"/>
      <c r="Q27" s="80"/>
      <c r="R27" s="81"/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2"/>
      <c r="D28" s="111"/>
      <c r="E28" s="109"/>
      <c r="F28" s="108"/>
      <c r="G28" s="109"/>
      <c r="H28" s="108"/>
      <c r="I28" s="109"/>
      <c r="J28" s="108"/>
      <c r="K28" s="109"/>
      <c r="L28" s="108"/>
      <c r="M28" s="109"/>
      <c r="N28" s="108"/>
      <c r="O28" s="109"/>
      <c r="P28" s="108"/>
      <c r="Q28" s="87"/>
      <c r="R28" s="88"/>
      <c r="S28" s="17"/>
      <c r="T28" s="17"/>
      <c r="U28" s="17"/>
      <c r="V28" s="17"/>
      <c r="W28" s="19"/>
    </row>
    <row r="29" spans="1:23" ht="14.25" customHeight="1" x14ac:dyDescent="0.2">
      <c r="A29" s="38"/>
      <c r="B29" s="193">
        <v>10</v>
      </c>
      <c r="C29" s="194"/>
      <c r="D29" s="195"/>
      <c r="E29" s="114"/>
      <c r="F29" s="167"/>
      <c r="G29" s="114"/>
      <c r="H29" s="167"/>
      <c r="I29" s="114"/>
      <c r="J29" s="167"/>
      <c r="K29" s="114"/>
      <c r="L29" s="167"/>
      <c r="M29" s="114"/>
      <c r="N29" s="167"/>
      <c r="O29" s="114"/>
      <c r="P29" s="167"/>
      <c r="Q29" s="87"/>
      <c r="R29" s="88"/>
      <c r="S29" s="17"/>
      <c r="T29" s="17"/>
      <c r="U29" s="17"/>
      <c r="V29" s="17"/>
      <c r="W29" s="19"/>
    </row>
    <row r="30" spans="1:23" ht="14.25" customHeight="1" x14ac:dyDescent="0.2">
      <c r="A30" s="116"/>
      <c r="B30" s="117"/>
      <c r="C30" s="117"/>
      <c r="D30" s="118" t="s">
        <v>46</v>
      </c>
      <c r="E30" s="95">
        <f>AVERAGE(E20:E29)</f>
        <v>86.26377500000001</v>
      </c>
      <c r="F30" s="99">
        <f t="shared" ref="F30:R30" si="10">AVERAGE(F20:F29)</f>
        <v>21.25</v>
      </c>
      <c r="G30" s="95">
        <f t="shared" si="10"/>
        <v>79.088875000000002</v>
      </c>
      <c r="H30" s="96">
        <f t="shared" si="10"/>
        <v>15.5</v>
      </c>
      <c r="I30" s="99">
        <f t="shared" si="10"/>
        <v>79.838849999999994</v>
      </c>
      <c r="J30" s="99">
        <f t="shared" si="10"/>
        <v>13</v>
      </c>
      <c r="K30" s="95">
        <f t="shared" si="10"/>
        <v>85.0749</v>
      </c>
      <c r="L30" s="96">
        <f t="shared" si="10"/>
        <v>14.25</v>
      </c>
      <c r="M30" s="99">
        <f t="shared" si="10"/>
        <v>80.974950000000007</v>
      </c>
      <c r="N30" s="99">
        <f t="shared" si="10"/>
        <v>14.5</v>
      </c>
      <c r="O30" s="95">
        <f t="shared" si="10"/>
        <v>87.522075000000001</v>
      </c>
      <c r="P30" s="96">
        <f t="shared" si="10"/>
        <v>14</v>
      </c>
      <c r="Q30" s="99">
        <f t="shared" si="10"/>
        <v>83.127237500000007</v>
      </c>
      <c r="R30" s="96">
        <f t="shared" si="10"/>
        <v>92.5</v>
      </c>
      <c r="S30" s="17"/>
      <c r="T30" s="17"/>
      <c r="U30" s="17"/>
      <c r="V30" s="17"/>
      <c r="W30" s="19"/>
    </row>
    <row r="31" spans="1:23" ht="14.25" customHeight="1" x14ac:dyDescent="0.2">
      <c r="A31" s="119"/>
      <c r="B31" s="120"/>
      <c r="C31" s="120"/>
      <c r="D31" s="121" t="s">
        <v>47</v>
      </c>
      <c r="E31" s="101">
        <f>STDEV(E20:E29)/SQRT(COUNT(E20:E29))</f>
        <v>3.3976079147382015</v>
      </c>
      <c r="F31" s="103">
        <f t="shared" ref="F31:R31" si="11">STDEV(F20:F29)/SQRT(COUNT(F20:F29))</f>
        <v>3.0379543555930306</v>
      </c>
      <c r="G31" s="101">
        <f t="shared" si="11"/>
        <v>7.1651089522275253</v>
      </c>
      <c r="H31" s="102">
        <f t="shared" si="11"/>
        <v>4.4814432199162511</v>
      </c>
      <c r="I31" s="103">
        <f t="shared" si="11"/>
        <v>9.879195029834154</v>
      </c>
      <c r="J31" s="103">
        <f t="shared" si="11"/>
        <v>3.8944404818493075</v>
      </c>
      <c r="K31" s="101">
        <f t="shared" si="11"/>
        <v>7.1239033209797622</v>
      </c>
      <c r="L31" s="102">
        <f t="shared" si="11"/>
        <v>4.5529294598825789</v>
      </c>
      <c r="M31" s="103">
        <f t="shared" si="11"/>
        <v>8.587264717252296</v>
      </c>
      <c r="N31" s="103">
        <f t="shared" si="11"/>
        <v>4.4814432199162511</v>
      </c>
      <c r="O31" s="101">
        <f t="shared" si="11"/>
        <v>7.3484458392432659</v>
      </c>
      <c r="P31" s="102">
        <f t="shared" si="11"/>
        <v>6.0964470527239607</v>
      </c>
      <c r="Q31" s="103">
        <f t="shared" si="11"/>
        <v>6.2262130019437034</v>
      </c>
      <c r="R31" s="102">
        <f t="shared" si="11"/>
        <v>24.195385234929958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57</v>
      </c>
      <c r="B32" s="40">
        <v>1</v>
      </c>
      <c r="C32" s="122" t="s">
        <v>84</v>
      </c>
      <c r="D32" s="182"/>
      <c r="E32" s="123"/>
      <c r="F32" s="124"/>
      <c r="G32" s="123"/>
      <c r="H32" s="125"/>
      <c r="I32" s="168"/>
      <c r="J32" s="124"/>
      <c r="K32" s="123"/>
      <c r="L32" s="125"/>
      <c r="M32" s="168"/>
      <c r="N32" s="124"/>
      <c r="O32" s="123"/>
      <c r="P32" s="125"/>
      <c r="Q32" s="80"/>
      <c r="R32" s="81"/>
      <c r="S32" s="17"/>
      <c r="T32" s="17"/>
      <c r="U32" s="17"/>
      <c r="V32" s="17"/>
      <c r="W32" s="19"/>
    </row>
    <row r="33" spans="1:23" ht="14.25" customHeight="1" x14ac:dyDescent="0.2">
      <c r="A33" s="206"/>
      <c r="B33" s="41">
        <v>2</v>
      </c>
      <c r="C33" s="122" t="s">
        <v>84</v>
      </c>
      <c r="D33" s="183"/>
      <c r="E33" s="127"/>
      <c r="F33" s="124"/>
      <c r="G33" s="127"/>
      <c r="H33" s="128"/>
      <c r="I33" s="126"/>
      <c r="J33" s="124"/>
      <c r="K33" s="127"/>
      <c r="L33" s="128"/>
      <c r="M33" s="126"/>
      <c r="N33" s="124"/>
      <c r="O33" s="127"/>
      <c r="P33" s="128"/>
      <c r="Q33" s="80"/>
      <c r="R33" s="81"/>
      <c r="S33" s="17"/>
      <c r="T33" s="17"/>
      <c r="U33" s="17"/>
      <c r="V33" s="17"/>
      <c r="W33" s="19"/>
    </row>
    <row r="34" spans="1:23" ht="14.25" customHeight="1" x14ac:dyDescent="0.2">
      <c r="A34" s="206"/>
      <c r="B34" s="43">
        <v>3</v>
      </c>
      <c r="C34" s="122" t="s">
        <v>84</v>
      </c>
      <c r="D34" s="183"/>
      <c r="E34" s="126"/>
      <c r="F34" s="124"/>
      <c r="G34" s="127"/>
      <c r="H34" s="128"/>
      <c r="I34" s="126"/>
      <c r="J34" s="124"/>
      <c r="K34" s="127"/>
      <c r="L34" s="128"/>
      <c r="M34" s="126"/>
      <c r="N34" s="124"/>
      <c r="O34" s="127"/>
      <c r="P34" s="128"/>
      <c r="Q34" s="80"/>
      <c r="R34" s="81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2" t="s">
        <v>84</v>
      </c>
      <c r="D35" s="183"/>
      <c r="E35" s="126"/>
      <c r="F35" s="124"/>
      <c r="G35" s="127"/>
      <c r="H35" s="128"/>
      <c r="I35" s="126"/>
      <c r="J35" s="124"/>
      <c r="K35" s="127"/>
      <c r="L35" s="128"/>
      <c r="M35" s="126"/>
      <c r="N35" s="124"/>
      <c r="O35" s="127"/>
      <c r="P35" s="128"/>
      <c r="Q35" s="80"/>
      <c r="R35" s="81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2" t="s">
        <v>84</v>
      </c>
      <c r="D36" s="183"/>
      <c r="E36" s="126"/>
      <c r="F36" s="124"/>
      <c r="G36" s="127"/>
      <c r="H36" s="128"/>
      <c r="I36" s="126"/>
      <c r="J36" s="124"/>
      <c r="K36" s="127"/>
      <c r="L36" s="128"/>
      <c r="M36" s="126"/>
      <c r="N36" s="124"/>
      <c r="O36" s="127"/>
      <c r="P36" s="128"/>
      <c r="Q36" s="80"/>
      <c r="R36" s="81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2" t="s">
        <v>84</v>
      </c>
      <c r="D37" s="183"/>
      <c r="E37" s="126"/>
      <c r="F37" s="124"/>
      <c r="G37" s="127"/>
      <c r="H37" s="128"/>
      <c r="I37" s="126"/>
      <c r="J37" s="124"/>
      <c r="K37" s="127"/>
      <c r="L37" s="128"/>
      <c r="M37" s="126"/>
      <c r="N37" s="124"/>
      <c r="O37" s="127"/>
      <c r="P37" s="128"/>
      <c r="Q37" s="80"/>
      <c r="R37" s="81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2" t="s">
        <v>84</v>
      </c>
      <c r="D38" s="184"/>
      <c r="E38" s="126"/>
      <c r="F38" s="124"/>
      <c r="G38" s="127"/>
      <c r="H38" s="128"/>
      <c r="I38" s="126"/>
      <c r="J38" s="124"/>
      <c r="K38" s="127"/>
      <c r="L38" s="128"/>
      <c r="M38" s="126"/>
      <c r="N38" s="124"/>
      <c r="O38" s="127"/>
      <c r="P38" s="128"/>
      <c r="Q38" s="80"/>
      <c r="R38" s="81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2" t="s">
        <v>84</v>
      </c>
      <c r="D39" s="184"/>
      <c r="E39" s="126"/>
      <c r="F39" s="124"/>
      <c r="G39" s="127"/>
      <c r="H39" s="128"/>
      <c r="I39" s="126"/>
      <c r="J39" s="124"/>
      <c r="K39" s="127"/>
      <c r="L39" s="128"/>
      <c r="M39" s="126"/>
      <c r="N39" s="124"/>
      <c r="O39" s="127"/>
      <c r="P39" s="128"/>
      <c r="Q39" s="80"/>
      <c r="R39" s="81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0"/>
      <c r="D40" s="129"/>
      <c r="E40" s="126"/>
      <c r="F40" s="124"/>
      <c r="G40" s="127"/>
      <c r="H40" s="128"/>
      <c r="I40" s="126"/>
      <c r="J40" s="124"/>
      <c r="K40" s="127"/>
      <c r="L40" s="128"/>
      <c r="M40" s="126"/>
      <c r="N40" s="124"/>
      <c r="O40" s="127"/>
      <c r="P40" s="128"/>
      <c r="Q40" s="127"/>
      <c r="R40" s="128"/>
      <c r="S40" s="17"/>
      <c r="T40" s="17"/>
      <c r="U40" s="17"/>
      <c r="V40" s="17"/>
      <c r="W40" s="19"/>
    </row>
    <row r="41" spans="1:23" ht="14.25" customHeight="1" x14ac:dyDescent="0.2">
      <c r="A41" s="42"/>
      <c r="B41" s="196">
        <v>10</v>
      </c>
      <c r="C41" s="197"/>
      <c r="D41" s="198"/>
      <c r="E41" s="126"/>
      <c r="F41" s="124"/>
      <c r="G41" s="132"/>
      <c r="H41" s="133"/>
      <c r="I41" s="126"/>
      <c r="J41" s="124"/>
      <c r="K41" s="132"/>
      <c r="L41" s="133"/>
      <c r="M41" s="126"/>
      <c r="N41" s="124"/>
      <c r="O41" s="132"/>
      <c r="P41" s="133"/>
      <c r="Q41" s="132"/>
      <c r="R41" s="133"/>
      <c r="S41" s="17"/>
      <c r="T41" s="17"/>
      <c r="U41" s="17"/>
      <c r="V41" s="17"/>
      <c r="W41" s="19"/>
    </row>
    <row r="42" spans="1:23" ht="14.25" customHeight="1" x14ac:dyDescent="0.2">
      <c r="A42" s="135"/>
      <c r="B42" s="136"/>
      <c r="C42" s="136"/>
      <c r="D42" s="137" t="s">
        <v>46</v>
      </c>
      <c r="E42" s="95" t="e">
        <f>AVERAGE(E32:E41)</f>
        <v>#DIV/0!</v>
      </c>
      <c r="F42" s="99" t="e">
        <f t="shared" ref="F42:R42" si="12">AVERAGE(F32:F41)</f>
        <v>#DIV/0!</v>
      </c>
      <c r="G42" s="95" t="e">
        <f t="shared" si="12"/>
        <v>#DIV/0!</v>
      </c>
      <c r="H42" s="96" t="e">
        <f t="shared" si="12"/>
        <v>#DIV/0!</v>
      </c>
      <c r="I42" s="99" t="e">
        <f t="shared" si="12"/>
        <v>#DIV/0!</v>
      </c>
      <c r="J42" s="99" t="e">
        <f t="shared" si="12"/>
        <v>#DIV/0!</v>
      </c>
      <c r="K42" s="95" t="e">
        <f t="shared" si="12"/>
        <v>#DIV/0!</v>
      </c>
      <c r="L42" s="96" t="e">
        <f t="shared" si="12"/>
        <v>#DIV/0!</v>
      </c>
      <c r="M42" s="99" t="e">
        <f t="shared" si="12"/>
        <v>#DIV/0!</v>
      </c>
      <c r="N42" s="99" t="e">
        <f t="shared" si="12"/>
        <v>#DIV/0!</v>
      </c>
      <c r="O42" s="95" t="e">
        <f t="shared" si="12"/>
        <v>#DIV/0!</v>
      </c>
      <c r="P42" s="96" t="e">
        <f t="shared" si="12"/>
        <v>#DIV/0!</v>
      </c>
      <c r="Q42" s="99" t="e">
        <f t="shared" si="12"/>
        <v>#DIV/0!</v>
      </c>
      <c r="R42" s="96" t="e">
        <f t="shared" si="12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38"/>
      <c r="B43" s="139"/>
      <c r="C43" s="139"/>
      <c r="D43" s="140" t="s">
        <v>47</v>
      </c>
      <c r="E43" s="101" t="e">
        <f>STDEV(E32:E41)/SQRT(COUNT(E32:E41))</f>
        <v>#DIV/0!</v>
      </c>
      <c r="F43" s="103" t="e">
        <f t="shared" ref="F43:R43" si="13">STDEV(F32:F41)/SQRT(COUNT(F32:F41))</f>
        <v>#DIV/0!</v>
      </c>
      <c r="G43" s="101" t="e">
        <f t="shared" si="13"/>
        <v>#DIV/0!</v>
      </c>
      <c r="H43" s="102" t="e">
        <f t="shared" si="13"/>
        <v>#DIV/0!</v>
      </c>
      <c r="I43" s="103" t="e">
        <f t="shared" si="13"/>
        <v>#DIV/0!</v>
      </c>
      <c r="J43" s="103" t="e">
        <f t="shared" si="13"/>
        <v>#DIV/0!</v>
      </c>
      <c r="K43" s="101" t="e">
        <f t="shared" si="13"/>
        <v>#DIV/0!</v>
      </c>
      <c r="L43" s="102" t="e">
        <f t="shared" si="13"/>
        <v>#DIV/0!</v>
      </c>
      <c r="M43" s="103" t="e">
        <f t="shared" si="13"/>
        <v>#DIV/0!</v>
      </c>
      <c r="N43" s="103" t="e">
        <f t="shared" si="13"/>
        <v>#DIV/0!</v>
      </c>
      <c r="O43" s="101" t="e">
        <f t="shared" si="13"/>
        <v>#DIV/0!</v>
      </c>
      <c r="P43" s="102" t="e">
        <f t="shared" si="13"/>
        <v>#DIV/0!</v>
      </c>
      <c r="Q43" s="103" t="e">
        <f t="shared" si="13"/>
        <v>#DIV/0!</v>
      </c>
      <c r="R43" s="102" t="e">
        <f t="shared" si="13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63</v>
      </c>
      <c r="B44" s="53">
        <v>1</v>
      </c>
      <c r="C44" s="141" t="s">
        <v>84</v>
      </c>
      <c r="D44" s="185"/>
      <c r="E44" s="123"/>
      <c r="F44" s="124"/>
      <c r="G44" s="123"/>
      <c r="H44" s="125"/>
      <c r="I44" s="168"/>
      <c r="J44" s="124"/>
      <c r="K44" s="123"/>
      <c r="L44" s="125"/>
      <c r="M44" s="168"/>
      <c r="N44" s="124"/>
      <c r="O44" s="123"/>
      <c r="P44" s="125"/>
      <c r="Q44" s="80"/>
      <c r="R44" s="81"/>
      <c r="S44" s="17"/>
      <c r="T44" s="17"/>
      <c r="U44" s="17"/>
      <c r="V44" s="17"/>
      <c r="W44" s="19"/>
    </row>
    <row r="45" spans="1:23" ht="14.25" customHeight="1" x14ac:dyDescent="0.2">
      <c r="A45" s="207"/>
      <c r="B45" s="54">
        <v>2</v>
      </c>
      <c r="C45" s="141" t="s">
        <v>84</v>
      </c>
      <c r="D45" s="185"/>
      <c r="E45" s="127"/>
      <c r="F45" s="124"/>
      <c r="G45" s="127"/>
      <c r="H45" s="128"/>
      <c r="I45" s="126"/>
      <c r="J45" s="124"/>
      <c r="K45" s="127"/>
      <c r="L45" s="128"/>
      <c r="M45" s="126"/>
      <c r="N45" s="124"/>
      <c r="O45" s="127"/>
      <c r="P45" s="128"/>
      <c r="Q45" s="80"/>
      <c r="R45" s="81"/>
      <c r="S45" s="17"/>
      <c r="T45" s="17"/>
      <c r="U45" s="17"/>
      <c r="V45" s="17"/>
      <c r="W45" s="19"/>
    </row>
    <row r="46" spans="1:23" ht="14.25" customHeight="1" x14ac:dyDescent="0.2">
      <c r="A46" s="207"/>
      <c r="B46" s="56">
        <v>3</v>
      </c>
      <c r="C46" s="141" t="s">
        <v>84</v>
      </c>
      <c r="D46" s="186"/>
      <c r="E46" s="126"/>
      <c r="F46" s="124"/>
      <c r="G46" s="127"/>
      <c r="H46" s="128"/>
      <c r="I46" s="126"/>
      <c r="J46" s="124"/>
      <c r="K46" s="127"/>
      <c r="L46" s="128"/>
      <c r="M46" s="126"/>
      <c r="N46" s="124"/>
      <c r="O46" s="127"/>
      <c r="P46" s="128"/>
      <c r="Q46" s="80"/>
      <c r="R46" s="81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1" t="s">
        <v>84</v>
      </c>
      <c r="D47" s="186"/>
      <c r="E47" s="126"/>
      <c r="F47" s="124"/>
      <c r="G47" s="127"/>
      <c r="H47" s="128"/>
      <c r="I47" s="126"/>
      <c r="J47" s="124"/>
      <c r="K47" s="127"/>
      <c r="L47" s="128"/>
      <c r="M47" s="126"/>
      <c r="N47" s="124"/>
      <c r="O47" s="127"/>
      <c r="P47" s="128"/>
      <c r="Q47" s="80"/>
      <c r="R47" s="81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1" t="s">
        <v>84</v>
      </c>
      <c r="D48" s="186"/>
      <c r="E48" s="126"/>
      <c r="F48" s="124"/>
      <c r="G48" s="127"/>
      <c r="H48" s="128"/>
      <c r="I48" s="126"/>
      <c r="J48" s="124"/>
      <c r="K48" s="127"/>
      <c r="L48" s="128"/>
      <c r="M48" s="126"/>
      <c r="N48" s="124"/>
      <c r="O48" s="127"/>
      <c r="P48" s="128"/>
      <c r="Q48" s="80"/>
      <c r="R48" s="81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1" t="s">
        <v>84</v>
      </c>
      <c r="D49" s="186"/>
      <c r="E49" s="126"/>
      <c r="F49" s="124"/>
      <c r="G49" s="127"/>
      <c r="H49" s="128"/>
      <c r="I49" s="126"/>
      <c r="J49" s="124"/>
      <c r="K49" s="127"/>
      <c r="L49" s="128"/>
      <c r="M49" s="126"/>
      <c r="N49" s="124"/>
      <c r="O49" s="127"/>
      <c r="P49" s="128"/>
      <c r="Q49" s="80"/>
      <c r="R49" s="81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1" t="s">
        <v>84</v>
      </c>
      <c r="D50" s="187"/>
      <c r="E50" s="126"/>
      <c r="F50" s="124"/>
      <c r="G50" s="127"/>
      <c r="H50" s="128"/>
      <c r="I50" s="126"/>
      <c r="J50" s="124"/>
      <c r="K50" s="127"/>
      <c r="L50" s="128"/>
      <c r="M50" s="126"/>
      <c r="N50" s="124"/>
      <c r="O50" s="127"/>
      <c r="P50" s="128"/>
      <c r="Q50" s="80"/>
      <c r="R50" s="81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1" t="s">
        <v>84</v>
      </c>
      <c r="D51" s="187"/>
      <c r="E51" s="126"/>
      <c r="F51" s="124"/>
      <c r="G51" s="127"/>
      <c r="H51" s="128"/>
      <c r="I51" s="126"/>
      <c r="J51" s="124"/>
      <c r="K51" s="127"/>
      <c r="L51" s="128"/>
      <c r="M51" s="126"/>
      <c r="N51" s="124"/>
      <c r="O51" s="127"/>
      <c r="P51" s="128"/>
      <c r="Q51" s="127"/>
      <c r="R51" s="128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3"/>
      <c r="D52" s="142"/>
      <c r="E52" s="126"/>
      <c r="F52" s="124"/>
      <c r="G52" s="127"/>
      <c r="H52" s="128"/>
      <c r="I52" s="126"/>
      <c r="J52" s="124"/>
      <c r="K52" s="127"/>
      <c r="L52" s="128"/>
      <c r="M52" s="126"/>
      <c r="N52" s="124"/>
      <c r="O52" s="127"/>
      <c r="P52" s="128"/>
      <c r="Q52" s="127"/>
      <c r="R52" s="128"/>
      <c r="S52" s="17"/>
      <c r="T52" s="17"/>
      <c r="U52" s="17"/>
      <c r="V52" s="17"/>
      <c r="W52" s="19"/>
    </row>
    <row r="53" spans="1:23" ht="14.25" customHeight="1" x14ac:dyDescent="0.2">
      <c r="A53" s="55"/>
      <c r="B53" s="199">
        <v>10</v>
      </c>
      <c r="C53" s="200"/>
      <c r="D53" s="201"/>
      <c r="E53" s="126"/>
      <c r="F53" s="124"/>
      <c r="G53" s="132"/>
      <c r="H53" s="133"/>
      <c r="I53" s="126"/>
      <c r="J53" s="124"/>
      <c r="K53" s="132"/>
      <c r="L53" s="133"/>
      <c r="M53" s="126"/>
      <c r="N53" s="124"/>
      <c r="O53" s="132"/>
      <c r="P53" s="133"/>
      <c r="Q53" s="132"/>
      <c r="R53" s="133"/>
      <c r="S53" s="17"/>
      <c r="T53" s="17"/>
      <c r="U53" s="17"/>
      <c r="V53" s="17"/>
      <c r="W53" s="19"/>
    </row>
    <row r="54" spans="1:23" ht="14.25" customHeight="1" x14ac:dyDescent="0.2">
      <c r="A54" s="144"/>
      <c r="B54" s="145"/>
      <c r="C54" s="145"/>
      <c r="D54" s="146" t="s">
        <v>46</v>
      </c>
      <c r="E54" s="95" t="e">
        <f>AVERAGE(E44:E53)</f>
        <v>#DIV/0!</v>
      </c>
      <c r="F54" s="99" t="e">
        <f t="shared" ref="F54:Q54" si="14">AVERAGE(F44:F53)</f>
        <v>#DIV/0!</v>
      </c>
      <c r="G54" s="95" t="e">
        <f t="shared" si="14"/>
        <v>#DIV/0!</v>
      </c>
      <c r="H54" s="96" t="e">
        <f t="shared" si="14"/>
        <v>#DIV/0!</v>
      </c>
      <c r="I54" s="99" t="e">
        <f t="shared" si="14"/>
        <v>#DIV/0!</v>
      </c>
      <c r="J54" s="99" t="e">
        <f t="shared" si="14"/>
        <v>#DIV/0!</v>
      </c>
      <c r="K54" s="95" t="e">
        <f t="shared" si="14"/>
        <v>#DIV/0!</v>
      </c>
      <c r="L54" s="96" t="e">
        <f t="shared" si="14"/>
        <v>#DIV/0!</v>
      </c>
      <c r="M54" s="99" t="e">
        <f t="shared" si="14"/>
        <v>#DIV/0!</v>
      </c>
      <c r="N54" s="99" t="e">
        <f t="shared" si="14"/>
        <v>#DIV/0!</v>
      </c>
      <c r="O54" s="95" t="e">
        <f t="shared" si="14"/>
        <v>#DIV/0!</v>
      </c>
      <c r="P54" s="96" t="e">
        <f t="shared" si="14"/>
        <v>#DIV/0!</v>
      </c>
      <c r="Q54" s="99" t="e">
        <f t="shared" si="14"/>
        <v>#DIV/0!</v>
      </c>
      <c r="R54" s="96" t="e">
        <f>AVERAGE(R44:R53)</f>
        <v>#DIV/0!</v>
      </c>
      <c r="S54" s="17"/>
      <c r="T54" s="17"/>
      <c r="U54" s="17"/>
      <c r="V54" s="17"/>
      <c r="W54" s="19"/>
    </row>
    <row r="55" spans="1:23" ht="14.25" customHeight="1" x14ac:dyDescent="0.2">
      <c r="A55" s="147"/>
      <c r="B55" s="148"/>
      <c r="C55" s="148"/>
      <c r="D55" s="149" t="s">
        <v>47</v>
      </c>
      <c r="E55" s="101" t="e">
        <f>STDEV(E44:E53)/SQRT(COUNT(E44:E53))</f>
        <v>#DIV/0!</v>
      </c>
      <c r="F55" s="103" t="e">
        <f t="shared" ref="F55:Q55" si="15">STDEV(F44:F53)/SQRT(COUNT(F44:F53))</f>
        <v>#DIV/0!</v>
      </c>
      <c r="G55" s="101" t="e">
        <f t="shared" si="15"/>
        <v>#DIV/0!</v>
      </c>
      <c r="H55" s="102" t="e">
        <f t="shared" si="15"/>
        <v>#DIV/0!</v>
      </c>
      <c r="I55" s="103" t="e">
        <f t="shared" si="15"/>
        <v>#DIV/0!</v>
      </c>
      <c r="J55" s="103" t="e">
        <f t="shared" si="15"/>
        <v>#DIV/0!</v>
      </c>
      <c r="K55" s="101" t="e">
        <f t="shared" si="15"/>
        <v>#DIV/0!</v>
      </c>
      <c r="L55" s="102" t="e">
        <f t="shared" si="15"/>
        <v>#DIV/0!</v>
      </c>
      <c r="M55" s="103" t="e">
        <f t="shared" si="15"/>
        <v>#DIV/0!</v>
      </c>
      <c r="N55" s="103" t="e">
        <f t="shared" si="15"/>
        <v>#DIV/0!</v>
      </c>
      <c r="O55" s="101" t="e">
        <f t="shared" si="15"/>
        <v>#DIV/0!</v>
      </c>
      <c r="P55" s="102" t="e">
        <f t="shared" si="15"/>
        <v>#DIV/0!</v>
      </c>
      <c r="Q55" s="103" t="e">
        <f t="shared" si="15"/>
        <v>#DIV/0!</v>
      </c>
      <c r="R55" s="102" t="e">
        <f>STDEV(R44:R53)/SQRT(COUNT(R44:R53))</f>
        <v>#DIV/0!</v>
      </c>
      <c r="S55" s="17"/>
      <c r="T55" s="17"/>
      <c r="U55" s="17"/>
      <c r="V55" s="17"/>
      <c r="W55" s="19"/>
    </row>
    <row r="56" spans="1:23" ht="14.25" customHeight="1" x14ac:dyDescent="0.2">
      <c r="A56" s="169"/>
      <c r="B56" s="150"/>
      <c r="C56" s="150" t="s">
        <v>49</v>
      </c>
      <c r="D56" s="150" t="s">
        <v>50</v>
      </c>
      <c r="E56" s="151">
        <f>TTEST(E8:E17,E20:E29,2,2)</f>
        <v>0.92410273751218652</v>
      </c>
      <c r="F56" s="151">
        <f t="shared" ref="F56:R56" si="16">TTEST(F8:F17,F20:F29,2,2)</f>
        <v>0.89214610269172845</v>
      </c>
      <c r="G56" s="151">
        <f t="shared" si="16"/>
        <v>0.83491378210598866</v>
      </c>
      <c r="H56" s="151">
        <f t="shared" si="16"/>
        <v>0.90190314217299528</v>
      </c>
      <c r="I56" s="151">
        <f t="shared" si="16"/>
        <v>0.7160123406608363</v>
      </c>
      <c r="J56" s="151">
        <f t="shared" si="16"/>
        <v>0.55967817051938407</v>
      </c>
      <c r="K56" s="151">
        <f t="shared" si="16"/>
        <v>0.88674830017823858</v>
      </c>
      <c r="L56" s="151">
        <f t="shared" si="16"/>
        <v>0.81296959085280085</v>
      </c>
      <c r="M56" s="151">
        <f t="shared" si="16"/>
        <v>0.96194420964635419</v>
      </c>
      <c r="N56" s="151">
        <f t="shared" si="16"/>
        <v>0.87368440805166969</v>
      </c>
      <c r="O56" s="151">
        <f t="shared" si="16"/>
        <v>0.99542185464736099</v>
      </c>
      <c r="P56" s="151">
        <f t="shared" si="16"/>
        <v>0.60400522628341513</v>
      </c>
      <c r="Q56" s="151">
        <f t="shared" si="16"/>
        <v>0.96898447880984717</v>
      </c>
      <c r="R56" s="151">
        <f t="shared" si="16"/>
        <v>0.94741797931532823</v>
      </c>
      <c r="S56" s="17"/>
      <c r="T56" s="17"/>
      <c r="U56" s="17"/>
      <c r="V56" s="17"/>
      <c r="W56" s="19"/>
    </row>
    <row r="57" spans="1:23" ht="14.25" customHeight="1" x14ac:dyDescent="0.2">
      <c r="A57" s="169"/>
      <c r="B57" s="150"/>
      <c r="C57" s="150"/>
      <c r="D57" s="150" t="s">
        <v>58</v>
      </c>
      <c r="E57" s="151" t="e">
        <f>TTEST(E8:E17,E32:E41,2,2)</f>
        <v>#DIV/0!</v>
      </c>
      <c r="F57" s="151" t="e">
        <f t="shared" ref="F57:R57" si="17">TTEST(F8:F17,F32:F41,2,2)</f>
        <v>#DIV/0!</v>
      </c>
      <c r="G57" s="151" t="e">
        <f t="shared" si="17"/>
        <v>#DIV/0!</v>
      </c>
      <c r="H57" s="151" t="e">
        <f t="shared" si="17"/>
        <v>#DIV/0!</v>
      </c>
      <c r="I57" s="151" t="e">
        <f t="shared" si="17"/>
        <v>#DIV/0!</v>
      </c>
      <c r="J57" s="151" t="e">
        <f t="shared" si="17"/>
        <v>#DIV/0!</v>
      </c>
      <c r="K57" s="151" t="e">
        <f t="shared" si="17"/>
        <v>#DIV/0!</v>
      </c>
      <c r="L57" s="151" t="e">
        <f t="shared" si="17"/>
        <v>#DIV/0!</v>
      </c>
      <c r="M57" s="151" t="e">
        <f t="shared" si="17"/>
        <v>#DIV/0!</v>
      </c>
      <c r="N57" s="151" t="e">
        <f t="shared" si="17"/>
        <v>#DIV/0!</v>
      </c>
      <c r="O57" s="151" t="e">
        <f t="shared" si="17"/>
        <v>#DIV/0!</v>
      </c>
      <c r="P57" s="151" t="e">
        <f t="shared" si="17"/>
        <v>#DIV/0!</v>
      </c>
      <c r="Q57" s="151" t="e">
        <f t="shared" si="17"/>
        <v>#DIV/0!</v>
      </c>
      <c r="R57" s="151" t="e">
        <f t="shared" si="17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69"/>
      <c r="B58" s="150"/>
      <c r="C58" s="150"/>
      <c r="D58" s="150" t="s">
        <v>64</v>
      </c>
      <c r="E58" s="151" t="e">
        <f>TTEST(E8:E17,E44:E53,2,2)</f>
        <v>#DIV/0!</v>
      </c>
      <c r="F58" s="151" t="e">
        <f t="shared" ref="F58:R58" si="18">TTEST(F8:F17,F44:F53,2,2)</f>
        <v>#DIV/0!</v>
      </c>
      <c r="G58" s="151" t="e">
        <f t="shared" si="18"/>
        <v>#DIV/0!</v>
      </c>
      <c r="H58" s="151" t="e">
        <f t="shared" si="18"/>
        <v>#DIV/0!</v>
      </c>
      <c r="I58" s="151" t="e">
        <f t="shared" si="18"/>
        <v>#DIV/0!</v>
      </c>
      <c r="J58" s="151" t="e">
        <f t="shared" si="18"/>
        <v>#DIV/0!</v>
      </c>
      <c r="K58" s="151" t="e">
        <f t="shared" si="18"/>
        <v>#DIV/0!</v>
      </c>
      <c r="L58" s="151" t="e">
        <f t="shared" si="18"/>
        <v>#DIV/0!</v>
      </c>
      <c r="M58" s="151" t="e">
        <f t="shared" si="18"/>
        <v>#DIV/0!</v>
      </c>
      <c r="N58" s="151" t="e">
        <f t="shared" si="18"/>
        <v>#DIV/0!</v>
      </c>
      <c r="O58" s="151" t="e">
        <f t="shared" si="18"/>
        <v>#DIV/0!</v>
      </c>
      <c r="P58" s="151" t="e">
        <f t="shared" si="18"/>
        <v>#DIV/0!</v>
      </c>
      <c r="Q58" s="151" t="e">
        <f t="shared" si="18"/>
        <v>#DIV/0!</v>
      </c>
      <c r="R58" s="151" t="e">
        <f t="shared" si="18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69"/>
      <c r="B59" s="150"/>
      <c r="C59" s="150"/>
      <c r="D59" s="150" t="s">
        <v>59</v>
      </c>
      <c r="E59" s="151" t="e">
        <f>TTEST(E20:E29,E32:E41,2,2)</f>
        <v>#DIV/0!</v>
      </c>
      <c r="F59" s="151" t="e">
        <f t="shared" ref="F59:R59" si="19">TTEST(F20:F29,F32:F41,2,2)</f>
        <v>#DIV/0!</v>
      </c>
      <c r="G59" s="151" t="e">
        <f t="shared" si="19"/>
        <v>#DIV/0!</v>
      </c>
      <c r="H59" s="151" t="e">
        <f t="shared" si="19"/>
        <v>#DIV/0!</v>
      </c>
      <c r="I59" s="151" t="e">
        <f t="shared" si="19"/>
        <v>#DIV/0!</v>
      </c>
      <c r="J59" s="151" t="e">
        <f t="shared" si="19"/>
        <v>#DIV/0!</v>
      </c>
      <c r="K59" s="151" t="e">
        <f t="shared" si="19"/>
        <v>#DIV/0!</v>
      </c>
      <c r="L59" s="151" t="e">
        <f t="shared" si="19"/>
        <v>#DIV/0!</v>
      </c>
      <c r="M59" s="151" t="e">
        <f t="shared" si="19"/>
        <v>#DIV/0!</v>
      </c>
      <c r="N59" s="151" t="e">
        <f t="shared" si="19"/>
        <v>#DIV/0!</v>
      </c>
      <c r="O59" s="151" t="e">
        <f t="shared" si="19"/>
        <v>#DIV/0!</v>
      </c>
      <c r="P59" s="151" t="e">
        <f t="shared" si="19"/>
        <v>#DIV/0!</v>
      </c>
      <c r="Q59" s="151" t="e">
        <f t="shared" si="19"/>
        <v>#DIV/0!</v>
      </c>
      <c r="R59" s="151" t="e">
        <f t="shared" si="19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69"/>
      <c r="B60" s="150"/>
      <c r="C60" s="150"/>
      <c r="D60" s="150" t="s">
        <v>65</v>
      </c>
      <c r="E60" s="151" t="e">
        <f>TTEST(E20:E29,E44:E53,2,2)</f>
        <v>#DIV/0!</v>
      </c>
      <c r="F60" s="151" t="e">
        <f t="shared" ref="F60:R60" si="20">TTEST(F20:F29,F44:F53,2,2)</f>
        <v>#DIV/0!</v>
      </c>
      <c r="G60" s="151" t="e">
        <f t="shared" si="20"/>
        <v>#DIV/0!</v>
      </c>
      <c r="H60" s="151" t="e">
        <f t="shared" si="20"/>
        <v>#DIV/0!</v>
      </c>
      <c r="I60" s="151" t="e">
        <f t="shared" si="20"/>
        <v>#DIV/0!</v>
      </c>
      <c r="J60" s="151" t="e">
        <f t="shared" si="20"/>
        <v>#DIV/0!</v>
      </c>
      <c r="K60" s="151" t="e">
        <f t="shared" si="20"/>
        <v>#DIV/0!</v>
      </c>
      <c r="L60" s="151" t="e">
        <f t="shared" si="20"/>
        <v>#DIV/0!</v>
      </c>
      <c r="M60" s="151" t="e">
        <f t="shared" si="20"/>
        <v>#DIV/0!</v>
      </c>
      <c r="N60" s="151" t="e">
        <f t="shared" si="20"/>
        <v>#DIV/0!</v>
      </c>
      <c r="O60" s="151" t="e">
        <f t="shared" si="20"/>
        <v>#DIV/0!</v>
      </c>
      <c r="P60" s="151" t="e">
        <f t="shared" si="20"/>
        <v>#DIV/0!</v>
      </c>
      <c r="Q60" s="151" t="e">
        <f t="shared" si="20"/>
        <v>#DIV/0!</v>
      </c>
      <c r="R60" s="151" t="e">
        <f t="shared" si="20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69"/>
      <c r="B61" s="150"/>
      <c r="C61" s="150"/>
      <c r="D61" s="150" t="s">
        <v>66</v>
      </c>
      <c r="E61" s="151" t="e">
        <f>TTEST(E32:E41,E44:E53,2,2)</f>
        <v>#DIV/0!</v>
      </c>
      <c r="F61" s="151" t="e">
        <f t="shared" ref="F61:R61" si="21">TTEST(F32:F41,F44:F53,2,2)</f>
        <v>#DIV/0!</v>
      </c>
      <c r="G61" s="151" t="e">
        <f t="shared" si="21"/>
        <v>#DIV/0!</v>
      </c>
      <c r="H61" s="151" t="e">
        <f t="shared" si="21"/>
        <v>#DIV/0!</v>
      </c>
      <c r="I61" s="151" t="e">
        <f t="shared" si="21"/>
        <v>#DIV/0!</v>
      </c>
      <c r="J61" s="151" t="e">
        <f t="shared" si="21"/>
        <v>#DIV/0!</v>
      </c>
      <c r="K61" s="151" t="e">
        <f t="shared" si="21"/>
        <v>#DIV/0!</v>
      </c>
      <c r="L61" s="151" t="e">
        <f t="shared" si="21"/>
        <v>#DIV/0!</v>
      </c>
      <c r="M61" s="151" t="e">
        <f t="shared" si="21"/>
        <v>#DIV/0!</v>
      </c>
      <c r="N61" s="151" t="e">
        <f t="shared" si="21"/>
        <v>#DIV/0!</v>
      </c>
      <c r="O61" s="151" t="e">
        <f t="shared" si="21"/>
        <v>#DIV/0!</v>
      </c>
      <c r="P61" s="151" t="e">
        <f t="shared" si="21"/>
        <v>#DIV/0!</v>
      </c>
      <c r="Q61" s="151" t="e">
        <f t="shared" si="21"/>
        <v>#DIV/0!</v>
      </c>
      <c r="R61" s="151" t="e">
        <f t="shared" si="21"/>
        <v>#DIV/0!</v>
      </c>
      <c r="S61" s="17"/>
      <c r="T61" s="17"/>
      <c r="U61" s="17"/>
      <c r="V61" s="17"/>
      <c r="W61" s="19"/>
    </row>
    <row r="62" spans="1:23" ht="14.25" customHeight="1" x14ac:dyDescent="0.2">
      <c r="A62" s="57"/>
      <c r="B62" s="58"/>
      <c r="C62" s="59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</row>
  </sheetData>
  <sheetProtection algorithmName="SHA-512" hashValue="Cz2WWj9W3TvfB18Ep7REzS2RzPliVnopL2FT8Qhdljdwr8pvI4nT9DPYQuFLSOxUyFIHkTpQ1YPtULU4Ahrxcw==" saltValue="E1rfzpUXlzjbu5D/+aG5MA==" spinCount="100000" sheet="1" objects="1" scenarios="1"/>
  <mergeCells count="11">
    <mergeCell ref="Q5:R5"/>
    <mergeCell ref="E5:F5"/>
    <mergeCell ref="G5:H5"/>
    <mergeCell ref="I5:J5"/>
    <mergeCell ref="K5:L5"/>
    <mergeCell ref="M5:N5"/>
    <mergeCell ref="A9:A10"/>
    <mergeCell ref="A21:A22"/>
    <mergeCell ref="A33:A34"/>
    <mergeCell ref="A45:A46"/>
    <mergeCell ref="O5:P5"/>
  </mergeCells>
  <conditionalFormatting sqref="E56:R61">
    <cfRule type="cellIs" dxfId="4" priority="1" operator="lessThan">
      <formula>0.05</formula>
    </cfRule>
    <cfRule type="cellIs" dxfId="3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2"/>
  <sheetViews>
    <sheetView zoomScaleNormal="100" workbookViewId="0">
      <selection activeCell="V45" sqref="V45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1" t="s">
        <v>31</v>
      </c>
      <c r="F5" s="212"/>
      <c r="G5" s="211" t="s">
        <v>32</v>
      </c>
      <c r="H5" s="212"/>
      <c r="I5" s="211" t="s">
        <v>33</v>
      </c>
      <c r="J5" s="212"/>
      <c r="K5" s="211" t="s">
        <v>34</v>
      </c>
      <c r="L5" s="212"/>
      <c r="M5" s="211" t="s">
        <v>35</v>
      </c>
      <c r="N5" s="212"/>
      <c r="O5" s="211" t="s">
        <v>36</v>
      </c>
      <c r="P5" s="212"/>
      <c r="Q5" s="211" t="s">
        <v>70</v>
      </c>
      <c r="R5" s="212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55</v>
      </c>
      <c r="F6" s="46" t="s">
        <v>56</v>
      </c>
      <c r="G6" s="26" t="s">
        <v>55</v>
      </c>
      <c r="H6" s="46" t="s">
        <v>56</v>
      </c>
      <c r="I6" s="26" t="s">
        <v>55</v>
      </c>
      <c r="J6" s="46" t="s">
        <v>56</v>
      </c>
      <c r="K6" s="26" t="s">
        <v>55</v>
      </c>
      <c r="L6" s="46" t="s">
        <v>56</v>
      </c>
      <c r="M6" s="26" t="s">
        <v>55</v>
      </c>
      <c r="N6" s="46" t="s">
        <v>56</v>
      </c>
      <c r="O6" s="26" t="s">
        <v>55</v>
      </c>
      <c r="P6" s="46" t="s">
        <v>56</v>
      </c>
      <c r="Q6" s="26" t="s">
        <v>55</v>
      </c>
      <c r="R6" s="47" t="s">
        <v>56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40</v>
      </c>
      <c r="C7" s="30" t="s">
        <v>41</v>
      </c>
      <c r="D7" s="31" t="s">
        <v>42</v>
      </c>
      <c r="E7" s="32" t="s">
        <v>43</v>
      </c>
      <c r="F7" s="32" t="s">
        <v>43</v>
      </c>
      <c r="G7" s="32" t="s">
        <v>43</v>
      </c>
      <c r="H7" s="32" t="s">
        <v>43</v>
      </c>
      <c r="I7" s="32" t="s">
        <v>43</v>
      </c>
      <c r="J7" s="32" t="s">
        <v>43</v>
      </c>
      <c r="K7" s="32" t="s">
        <v>43</v>
      </c>
      <c r="L7" s="32" t="s">
        <v>43</v>
      </c>
      <c r="M7" s="32" t="s">
        <v>43</v>
      </c>
      <c r="N7" s="32" t="s">
        <v>43</v>
      </c>
      <c r="O7" s="32" t="s">
        <v>43</v>
      </c>
      <c r="P7" s="32" t="s">
        <v>43</v>
      </c>
      <c r="Q7" s="32" t="s">
        <v>43</v>
      </c>
      <c r="R7" s="32" t="s">
        <v>43</v>
      </c>
      <c r="S7" s="17"/>
      <c r="T7" s="17"/>
      <c r="U7" s="17"/>
      <c r="V7" s="17"/>
      <c r="W7" s="19"/>
    </row>
    <row r="8" spans="1:23" ht="14.25" customHeight="1" x14ac:dyDescent="0.2">
      <c r="A8" s="34" t="s">
        <v>45</v>
      </c>
      <c r="B8" s="73">
        <v>1</v>
      </c>
      <c r="C8" s="74" t="s">
        <v>88</v>
      </c>
      <c r="D8" s="179">
        <v>5997</v>
      </c>
      <c r="E8" s="165">
        <v>9.0443499999999997</v>
      </c>
      <c r="F8" s="170">
        <v>90.944500000000005</v>
      </c>
      <c r="G8" s="165">
        <v>5.8332699999999997</v>
      </c>
      <c r="H8" s="170">
        <v>94.156599999999997</v>
      </c>
      <c r="I8" s="171">
        <v>7.0666000000000002</v>
      </c>
      <c r="J8" s="171">
        <v>92.933400000000006</v>
      </c>
      <c r="K8" s="165">
        <v>6.7999299999999998</v>
      </c>
      <c r="L8" s="170">
        <v>93.200100000000006</v>
      </c>
      <c r="M8" s="171">
        <v>6.5443800000000003</v>
      </c>
      <c r="N8" s="171">
        <v>93.455600000000004</v>
      </c>
      <c r="O8" s="165">
        <v>5.9777199999999997</v>
      </c>
      <c r="P8" s="171">
        <v>94.022300000000001</v>
      </c>
      <c r="Q8" s="75">
        <f>AVERAGE(E8,G8,I8,K8,M8,O8)</f>
        <v>6.8777083333333335</v>
      </c>
      <c r="R8" s="172">
        <f>AVERAGE(F8,H8,J8,L8,N8,P8)</f>
        <v>93.118749999999991</v>
      </c>
      <c r="S8" s="17"/>
      <c r="T8" s="17"/>
      <c r="U8" s="17"/>
      <c r="V8" s="17"/>
      <c r="W8" s="19"/>
    </row>
    <row r="9" spans="1:23" ht="14.25" customHeight="1" x14ac:dyDescent="0.2">
      <c r="A9" s="204" t="s">
        <v>83</v>
      </c>
      <c r="B9" s="79">
        <v>2</v>
      </c>
      <c r="C9" s="74" t="s">
        <v>88</v>
      </c>
      <c r="D9" s="179">
        <v>5998</v>
      </c>
      <c r="E9" s="109">
        <v>10.299899999999999</v>
      </c>
      <c r="F9" s="113">
        <v>89.688999999999993</v>
      </c>
      <c r="G9" s="109">
        <v>7.3221499999999997</v>
      </c>
      <c r="H9" s="113">
        <v>92.667699999999996</v>
      </c>
      <c r="I9" s="107">
        <v>5.6666100000000004</v>
      </c>
      <c r="J9" s="107">
        <v>94.333399999999997</v>
      </c>
      <c r="K9" s="109">
        <v>8.3110300000000006</v>
      </c>
      <c r="L9" s="113">
        <v>91.688999999999993</v>
      </c>
      <c r="M9" s="107">
        <v>7.0443699999999998</v>
      </c>
      <c r="N9" s="107">
        <v>92.955600000000004</v>
      </c>
      <c r="O9" s="109">
        <v>7.5554800000000002</v>
      </c>
      <c r="P9" s="107">
        <v>92.444500000000005</v>
      </c>
      <c r="Q9" s="80">
        <f t="shared" ref="Q9:Q11" si="0">AVERAGE(E9,G9,I9,K9,M9,O9)</f>
        <v>7.6999233333333343</v>
      </c>
      <c r="R9" s="86">
        <f t="shared" ref="R9:R11" si="1">AVERAGE(F9,H9,J9,L9,N9,P9)</f>
        <v>92.296533333333329</v>
      </c>
      <c r="S9" s="17"/>
      <c r="T9" s="17"/>
      <c r="U9" s="17"/>
      <c r="V9" s="17"/>
      <c r="W9" s="19"/>
    </row>
    <row r="10" spans="1:23" ht="14.25" customHeight="1" x14ac:dyDescent="0.2">
      <c r="A10" s="204"/>
      <c r="B10" s="79">
        <v>3</v>
      </c>
      <c r="C10" s="74" t="s">
        <v>88</v>
      </c>
      <c r="D10" s="179">
        <v>5999</v>
      </c>
      <c r="E10" s="109">
        <v>8.5665800000000001</v>
      </c>
      <c r="F10" s="113">
        <v>91.422300000000007</v>
      </c>
      <c r="G10" s="109">
        <v>7.2665899999999999</v>
      </c>
      <c r="H10" s="113">
        <v>92.733400000000003</v>
      </c>
      <c r="I10" s="107">
        <v>6.5554899999999998</v>
      </c>
      <c r="J10" s="107">
        <v>93.444500000000005</v>
      </c>
      <c r="K10" s="109">
        <v>9.5998999999999999</v>
      </c>
      <c r="L10" s="113">
        <v>90.400099999999995</v>
      </c>
      <c r="M10" s="107">
        <v>8.5999099999999995</v>
      </c>
      <c r="N10" s="107">
        <v>91.400099999999995</v>
      </c>
      <c r="O10" s="109">
        <v>6.8999300000000003</v>
      </c>
      <c r="P10" s="107">
        <v>93.100099999999998</v>
      </c>
      <c r="Q10" s="80">
        <f t="shared" si="0"/>
        <v>7.9147333333333334</v>
      </c>
      <c r="R10" s="86">
        <f t="shared" si="1"/>
        <v>92.083416666666679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88</v>
      </c>
      <c r="D11" s="179">
        <v>6000</v>
      </c>
      <c r="E11" s="109">
        <v>18.321999999999999</v>
      </c>
      <c r="F11" s="113">
        <v>81.666799999999995</v>
      </c>
      <c r="G11" s="109">
        <v>10.846299999999999</v>
      </c>
      <c r="H11" s="113">
        <v>89.153700000000001</v>
      </c>
      <c r="I11" s="107">
        <v>10.3888</v>
      </c>
      <c r="J11" s="107">
        <v>89.602099999999993</v>
      </c>
      <c r="K11" s="109">
        <v>9.0332399999999993</v>
      </c>
      <c r="L11" s="113">
        <v>90.958600000000004</v>
      </c>
      <c r="M11" s="107">
        <v>10.9443</v>
      </c>
      <c r="N11" s="107">
        <v>89.055700000000002</v>
      </c>
      <c r="O11" s="109">
        <v>9.0614600000000003</v>
      </c>
      <c r="P11" s="107">
        <v>90.938500000000005</v>
      </c>
      <c r="Q11" s="80">
        <f t="shared" si="0"/>
        <v>11.432683333333332</v>
      </c>
      <c r="R11" s="86">
        <f t="shared" si="1"/>
        <v>88.562566666666669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/>
      <c r="D12" s="179"/>
      <c r="E12" s="109"/>
      <c r="F12" s="113"/>
      <c r="G12" s="109"/>
      <c r="H12" s="113"/>
      <c r="I12" s="107"/>
      <c r="J12" s="107"/>
      <c r="K12" s="109"/>
      <c r="L12" s="113"/>
      <c r="M12" s="107"/>
      <c r="N12" s="107"/>
      <c r="O12" s="109"/>
      <c r="P12" s="107"/>
      <c r="Q12" s="80"/>
      <c r="R12" s="86"/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/>
      <c r="D13" s="179"/>
      <c r="E13" s="109"/>
      <c r="F13" s="113"/>
      <c r="G13" s="109"/>
      <c r="H13" s="113"/>
      <c r="I13" s="107"/>
      <c r="J13" s="107"/>
      <c r="K13" s="109"/>
      <c r="L13" s="113"/>
      <c r="M13" s="107"/>
      <c r="N13" s="107"/>
      <c r="O13" s="109"/>
      <c r="P13" s="107"/>
      <c r="Q13" s="80"/>
      <c r="R13" s="86"/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/>
      <c r="D14" s="189"/>
      <c r="E14" s="109"/>
      <c r="F14" s="113"/>
      <c r="G14" s="109"/>
      <c r="H14" s="113"/>
      <c r="I14" s="107"/>
      <c r="J14" s="107"/>
      <c r="K14" s="109"/>
      <c r="L14" s="113"/>
      <c r="M14" s="107"/>
      <c r="N14" s="107"/>
      <c r="O14" s="109"/>
      <c r="P14" s="107"/>
      <c r="Q14" s="80"/>
      <c r="R14" s="86"/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/>
      <c r="D15" s="189"/>
      <c r="E15" s="80"/>
      <c r="F15" s="86"/>
      <c r="G15" s="80"/>
      <c r="H15" s="86"/>
      <c r="I15" s="82"/>
      <c r="J15" s="82"/>
      <c r="K15" s="80"/>
      <c r="L15" s="86"/>
      <c r="M15" s="82"/>
      <c r="N15" s="82"/>
      <c r="O15" s="80"/>
      <c r="P15" s="82"/>
      <c r="Q15" s="80"/>
      <c r="R15" s="86"/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2"/>
      <c r="Q16" s="80"/>
      <c r="R16" s="86"/>
      <c r="S16" s="17"/>
      <c r="T16" s="17"/>
      <c r="U16" s="17"/>
      <c r="V16" s="17"/>
      <c r="W16" s="19"/>
    </row>
    <row r="17" spans="1:23" ht="14.25" customHeight="1" x14ac:dyDescent="0.2">
      <c r="A17" s="35"/>
      <c r="B17" s="190">
        <v>10</v>
      </c>
      <c r="C17" s="191"/>
      <c r="D17" s="192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173"/>
      <c r="Q17" s="89"/>
      <c r="R17" s="90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46</v>
      </c>
      <c r="E18" s="95">
        <f>AVERAGE(E8:E17)</f>
        <v>11.558207499999998</v>
      </c>
      <c r="F18" s="96">
        <f>AVERAGE(F8:F17)</f>
        <v>88.430649999999986</v>
      </c>
      <c r="G18" s="95">
        <f t="shared" ref="G18:R18" si="2">AVERAGE(G8:G17)</f>
        <v>7.8170774999999999</v>
      </c>
      <c r="H18" s="96">
        <f t="shared" si="2"/>
        <v>92.177850000000007</v>
      </c>
      <c r="I18" s="95">
        <f t="shared" si="2"/>
        <v>7.4193749999999996</v>
      </c>
      <c r="J18" s="96">
        <f t="shared" si="2"/>
        <v>92.57835</v>
      </c>
      <c r="K18" s="95">
        <f t="shared" si="2"/>
        <v>8.4360250000000008</v>
      </c>
      <c r="L18" s="96">
        <f t="shared" si="2"/>
        <v>91.561949999999996</v>
      </c>
      <c r="M18" s="95">
        <f t="shared" si="2"/>
        <v>8.2832399999999993</v>
      </c>
      <c r="N18" s="96">
        <f t="shared" si="2"/>
        <v>91.716750000000005</v>
      </c>
      <c r="O18" s="95">
        <f t="shared" si="2"/>
        <v>7.3736475000000006</v>
      </c>
      <c r="P18" s="96">
        <f t="shared" si="2"/>
        <v>92.626350000000002</v>
      </c>
      <c r="Q18" s="97">
        <f t="shared" si="2"/>
        <v>8.4812620833333341</v>
      </c>
      <c r="R18" s="98">
        <f t="shared" si="2"/>
        <v>91.515316666666664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47</v>
      </c>
      <c r="E19" s="101">
        <f>STDEV(E8:E17)/SQRT(COUNT(E8:E17))</f>
        <v>2.2840304539832501</v>
      </c>
      <c r="F19" s="102">
        <f>STDEV(F8:F17)/SQRT(COUNT(F8:F17))</f>
        <v>2.2840483629220016</v>
      </c>
      <c r="G19" s="101">
        <f t="shared" ref="G19:R19" si="3">STDEV(G8:G17)/SQRT(COUNT(G8:G17))</f>
        <v>1.0669141979510732</v>
      </c>
      <c r="H19" s="102">
        <f t="shared" si="3"/>
        <v>1.0649539743575769</v>
      </c>
      <c r="I19" s="101">
        <f t="shared" si="3"/>
        <v>1.0311974216778304</v>
      </c>
      <c r="J19" s="102">
        <f t="shared" si="3"/>
        <v>1.0333820239872589</v>
      </c>
      <c r="K19" s="101">
        <f t="shared" si="3"/>
        <v>0.60578470948156093</v>
      </c>
      <c r="L19" s="102">
        <f t="shared" si="3"/>
        <v>0.6064654270167994</v>
      </c>
      <c r="M19" s="101">
        <f t="shared" si="3"/>
        <v>0.9891053697239095</v>
      </c>
      <c r="N19" s="102">
        <f t="shared" si="3"/>
        <v>0.98909904163671503</v>
      </c>
      <c r="O19" s="101">
        <f t="shared" si="3"/>
        <v>0.64902464952386896</v>
      </c>
      <c r="P19" s="102">
        <f t="shared" si="3"/>
        <v>0.64903919437375424</v>
      </c>
      <c r="Q19" s="101">
        <f t="shared" si="3"/>
        <v>1.0088655795380064</v>
      </c>
      <c r="R19" s="102">
        <f t="shared" si="3"/>
        <v>1.0092393219327032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48</v>
      </c>
      <c r="B20" s="37">
        <v>1</v>
      </c>
      <c r="C20" s="104" t="s">
        <v>84</v>
      </c>
      <c r="D20" s="180">
        <v>792</v>
      </c>
      <c r="E20" s="107">
        <v>15.899800000000001</v>
      </c>
      <c r="F20" s="113">
        <v>84.088999999999999</v>
      </c>
      <c r="G20" s="109">
        <v>8.9332399999999996</v>
      </c>
      <c r="H20" s="113">
        <v>91.066800000000001</v>
      </c>
      <c r="I20" s="107">
        <v>9.2251300000000001</v>
      </c>
      <c r="J20" s="107">
        <v>90.730400000000003</v>
      </c>
      <c r="K20" s="109">
        <v>8.9332399999999996</v>
      </c>
      <c r="L20" s="113">
        <v>90.969800000000006</v>
      </c>
      <c r="M20" s="107">
        <v>9.4826800000000002</v>
      </c>
      <c r="N20" s="107">
        <v>90.306200000000004</v>
      </c>
      <c r="O20" s="109">
        <v>10.1332</v>
      </c>
      <c r="P20" s="113">
        <v>89.549499999999995</v>
      </c>
      <c r="Q20" s="80">
        <f t="shared" ref="Q20" si="4">AVERAGE(E20,G20,I20,K20,M20,O20)</f>
        <v>10.434548333333334</v>
      </c>
      <c r="R20" s="86">
        <f t="shared" ref="R20" si="5">AVERAGE(F20,H20,J20,L20,N20,P20)</f>
        <v>89.451950000000011</v>
      </c>
      <c r="S20" s="17"/>
      <c r="T20" s="17"/>
      <c r="U20" s="17"/>
      <c r="V20" s="17"/>
      <c r="W20" s="19"/>
    </row>
    <row r="21" spans="1:23" ht="14.25" customHeight="1" x14ac:dyDescent="0.2">
      <c r="A21" s="205" t="s">
        <v>82</v>
      </c>
      <c r="B21" s="39">
        <v>2</v>
      </c>
      <c r="C21" s="105" t="s">
        <v>84</v>
      </c>
      <c r="D21" s="181">
        <v>793</v>
      </c>
      <c r="E21" s="107">
        <v>16.166499999999999</v>
      </c>
      <c r="F21" s="113">
        <v>83.822400000000002</v>
      </c>
      <c r="G21" s="109">
        <v>11.5463</v>
      </c>
      <c r="H21" s="113">
        <v>88.442599999999999</v>
      </c>
      <c r="I21" s="107">
        <v>10.855399999999999</v>
      </c>
      <c r="J21" s="107">
        <v>89.068799999999996</v>
      </c>
      <c r="K21" s="109">
        <v>10.2555</v>
      </c>
      <c r="L21" s="113">
        <v>89.733400000000003</v>
      </c>
      <c r="M21" s="107">
        <v>8.8110199999999992</v>
      </c>
      <c r="N21" s="107">
        <v>91.188999999999993</v>
      </c>
      <c r="O21" s="109">
        <v>13.311</v>
      </c>
      <c r="P21" s="113">
        <v>86.433499999999995</v>
      </c>
      <c r="Q21" s="80">
        <f t="shared" ref="Q21:Q22" si="6">AVERAGE(E21,G21,I21,K21,M21,O21)</f>
        <v>11.824286666666666</v>
      </c>
      <c r="R21" s="86">
        <f t="shared" ref="R21:R22" si="7">AVERAGE(F21,H21,J21,L21,N21,P21)</f>
        <v>88.114950000000007</v>
      </c>
      <c r="S21" s="17"/>
      <c r="T21" s="17"/>
      <c r="U21" s="17"/>
      <c r="V21" s="17"/>
      <c r="W21" s="19"/>
    </row>
    <row r="22" spans="1:23" ht="14.25" customHeight="1" x14ac:dyDescent="0.2">
      <c r="A22" s="205"/>
      <c r="B22" s="39">
        <v>3</v>
      </c>
      <c r="C22" s="105" t="s">
        <v>84</v>
      </c>
      <c r="D22" s="181">
        <v>794</v>
      </c>
      <c r="E22" s="107">
        <v>11.055400000000001</v>
      </c>
      <c r="F22" s="113">
        <v>88.933400000000006</v>
      </c>
      <c r="G22" s="109">
        <v>4.42218</v>
      </c>
      <c r="H22" s="113">
        <v>95.577799999999996</v>
      </c>
      <c r="I22" s="107">
        <v>3.8221799999999999</v>
      </c>
      <c r="J22" s="107">
        <v>96.146500000000003</v>
      </c>
      <c r="K22" s="109">
        <v>3.8777400000000002</v>
      </c>
      <c r="L22" s="113">
        <v>96.1</v>
      </c>
      <c r="M22" s="107">
        <v>2.1555300000000002</v>
      </c>
      <c r="N22" s="107">
        <v>97.844499999999996</v>
      </c>
      <c r="O22" s="109">
        <v>2.7221899999999999</v>
      </c>
      <c r="P22" s="113">
        <v>97.277799999999999</v>
      </c>
      <c r="Q22" s="80">
        <f t="shared" si="6"/>
        <v>4.6758699999999997</v>
      </c>
      <c r="R22" s="86">
        <f t="shared" si="7"/>
        <v>95.313333333333333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5" t="s">
        <v>84</v>
      </c>
      <c r="D23" s="181">
        <v>795</v>
      </c>
      <c r="E23" s="107">
        <v>14.766500000000001</v>
      </c>
      <c r="F23" s="113">
        <v>85.222399999999993</v>
      </c>
      <c r="G23" s="109">
        <v>7.7665899999999999</v>
      </c>
      <c r="H23" s="113">
        <v>92.233400000000003</v>
      </c>
      <c r="I23" s="107">
        <v>6.7666000000000004</v>
      </c>
      <c r="J23" s="107">
        <v>93.233400000000003</v>
      </c>
      <c r="K23" s="109">
        <v>6.0554899999999998</v>
      </c>
      <c r="L23" s="113">
        <v>93.944500000000005</v>
      </c>
      <c r="M23" s="107">
        <v>10.7332</v>
      </c>
      <c r="N23" s="107">
        <v>89.266800000000003</v>
      </c>
      <c r="O23" s="109">
        <v>7.0332600000000003</v>
      </c>
      <c r="P23" s="113">
        <v>92.966700000000003</v>
      </c>
      <c r="Q23" s="80">
        <f t="shared" ref="Q23" si="8">AVERAGE(E23,G23,I23,K23,M23,O23)</f>
        <v>8.853606666666666</v>
      </c>
      <c r="R23" s="86">
        <f t="shared" ref="R23" si="9">AVERAGE(F23,H23,J23,L23,N23,P23)</f>
        <v>91.144533333333342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5"/>
      <c r="D24" s="181"/>
      <c r="E24" s="107"/>
      <c r="F24" s="113"/>
      <c r="G24" s="109"/>
      <c r="H24" s="113"/>
      <c r="I24" s="107"/>
      <c r="J24" s="107"/>
      <c r="K24" s="109"/>
      <c r="L24" s="113"/>
      <c r="M24" s="107"/>
      <c r="N24" s="107"/>
      <c r="O24" s="109"/>
      <c r="P24" s="113"/>
      <c r="Q24" s="80"/>
      <c r="R24" s="86"/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5"/>
      <c r="D25" s="181"/>
      <c r="E25" s="107"/>
      <c r="F25" s="113"/>
      <c r="G25" s="109"/>
      <c r="H25" s="113"/>
      <c r="I25" s="107"/>
      <c r="J25" s="107"/>
      <c r="K25" s="109"/>
      <c r="L25" s="113"/>
      <c r="M25" s="107"/>
      <c r="N25" s="107"/>
      <c r="O25" s="109"/>
      <c r="P25" s="113"/>
      <c r="Q25" s="80"/>
      <c r="R25" s="86"/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5"/>
      <c r="D26" s="188"/>
      <c r="E26" s="109"/>
      <c r="F26" s="113"/>
      <c r="G26" s="109"/>
      <c r="H26" s="113"/>
      <c r="I26" s="107"/>
      <c r="J26" s="107"/>
      <c r="K26" s="109"/>
      <c r="L26" s="113"/>
      <c r="M26" s="107"/>
      <c r="N26" s="107"/>
      <c r="O26" s="109"/>
      <c r="P26" s="113"/>
      <c r="Q26" s="80"/>
      <c r="R26" s="86"/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5"/>
      <c r="D27" s="188"/>
      <c r="E27" s="109"/>
      <c r="F27" s="113"/>
      <c r="G27" s="109"/>
      <c r="H27" s="113"/>
      <c r="I27" s="107"/>
      <c r="J27" s="107"/>
      <c r="K27" s="109"/>
      <c r="L27" s="113"/>
      <c r="M27" s="107"/>
      <c r="N27" s="107"/>
      <c r="O27" s="109"/>
      <c r="P27" s="113"/>
      <c r="Q27" s="80"/>
      <c r="R27" s="86"/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2"/>
      <c r="D28" s="111"/>
      <c r="E28" s="109"/>
      <c r="F28" s="113"/>
      <c r="G28" s="109"/>
      <c r="H28" s="113"/>
      <c r="I28" s="107"/>
      <c r="J28" s="107"/>
      <c r="K28" s="109"/>
      <c r="L28" s="113"/>
      <c r="M28" s="107"/>
      <c r="N28" s="107"/>
      <c r="O28" s="109"/>
      <c r="P28" s="113"/>
      <c r="Q28" s="80"/>
      <c r="R28" s="86"/>
      <c r="S28" s="17"/>
      <c r="T28" s="17"/>
      <c r="U28" s="17"/>
      <c r="V28" s="17"/>
      <c r="W28" s="19"/>
    </row>
    <row r="29" spans="1:23" ht="14.25" customHeight="1" x14ac:dyDescent="0.2">
      <c r="A29" s="38"/>
      <c r="B29" s="193">
        <v>10</v>
      </c>
      <c r="C29" s="194"/>
      <c r="D29" s="195"/>
      <c r="E29" s="114"/>
      <c r="F29" s="115"/>
      <c r="G29" s="109"/>
      <c r="H29" s="113"/>
      <c r="I29" s="107"/>
      <c r="J29" s="107"/>
      <c r="K29" s="109"/>
      <c r="L29" s="113"/>
      <c r="M29" s="107"/>
      <c r="N29" s="107"/>
      <c r="O29" s="109"/>
      <c r="P29" s="113"/>
      <c r="Q29" s="89"/>
      <c r="R29" s="90"/>
      <c r="S29" s="17"/>
      <c r="T29" s="17"/>
      <c r="U29" s="17"/>
      <c r="V29" s="17"/>
      <c r="W29" s="19"/>
    </row>
    <row r="30" spans="1:23" ht="14.25" customHeight="1" x14ac:dyDescent="0.2">
      <c r="A30" s="116"/>
      <c r="B30" s="117"/>
      <c r="C30" s="117"/>
      <c r="D30" s="118" t="s">
        <v>46</v>
      </c>
      <c r="E30" s="95">
        <f t="shared" ref="E30:R30" si="10">AVERAGE(E20:E29)</f>
        <v>14.472049999999999</v>
      </c>
      <c r="F30" s="96">
        <f t="shared" si="10"/>
        <v>85.516800000000003</v>
      </c>
      <c r="G30" s="95">
        <f t="shared" si="10"/>
        <v>8.1670774999999995</v>
      </c>
      <c r="H30" s="96">
        <f t="shared" si="10"/>
        <v>91.830150000000003</v>
      </c>
      <c r="I30" s="95">
        <f t="shared" si="10"/>
        <v>7.6673274999999999</v>
      </c>
      <c r="J30" s="96">
        <f t="shared" si="10"/>
        <v>92.294775000000001</v>
      </c>
      <c r="K30" s="95">
        <f t="shared" si="10"/>
        <v>7.2804924999999994</v>
      </c>
      <c r="L30" s="96">
        <f t="shared" si="10"/>
        <v>92.686925000000002</v>
      </c>
      <c r="M30" s="95">
        <f t="shared" si="10"/>
        <v>7.7956075</v>
      </c>
      <c r="N30" s="96">
        <f t="shared" si="10"/>
        <v>92.151624999999996</v>
      </c>
      <c r="O30" s="95">
        <f t="shared" si="10"/>
        <v>8.2999125000000014</v>
      </c>
      <c r="P30" s="96">
        <f t="shared" si="10"/>
        <v>91.556875000000005</v>
      </c>
      <c r="Q30" s="95">
        <f t="shared" si="10"/>
        <v>8.9470779166666663</v>
      </c>
      <c r="R30" s="96">
        <f t="shared" si="10"/>
        <v>91.00619166666668</v>
      </c>
      <c r="S30" s="17"/>
      <c r="T30" s="17"/>
      <c r="U30" s="17"/>
      <c r="V30" s="17"/>
      <c r="W30" s="19"/>
    </row>
    <row r="31" spans="1:23" ht="14.25" customHeight="1" x14ac:dyDescent="0.2">
      <c r="A31" s="119"/>
      <c r="B31" s="120"/>
      <c r="C31" s="120"/>
      <c r="D31" s="121" t="s">
        <v>47</v>
      </c>
      <c r="E31" s="101">
        <f t="shared" ref="E31:R31" si="11">STDEV(E20:E29)/SQRT(COUNT(E20:E29))</f>
        <v>1.1786230981530976</v>
      </c>
      <c r="F31" s="102">
        <f t="shared" si="11"/>
        <v>1.1786090361099408</v>
      </c>
      <c r="G31" s="101">
        <f t="shared" si="11"/>
        <v>1.4773511544899955</v>
      </c>
      <c r="H31" s="102">
        <f t="shared" si="11"/>
        <v>1.4794618759873466</v>
      </c>
      <c r="I31" s="101">
        <f t="shared" si="11"/>
        <v>1.5326182450378554</v>
      </c>
      <c r="J31" s="102">
        <f t="shared" si="11"/>
        <v>1.5430215543833696</v>
      </c>
      <c r="K31" s="101">
        <f t="shared" si="11"/>
        <v>1.4335736123720981</v>
      </c>
      <c r="L31" s="102">
        <f t="shared" si="11"/>
        <v>1.4405555649210462</v>
      </c>
      <c r="M31" s="101">
        <f t="shared" si="11"/>
        <v>1.921744001063336</v>
      </c>
      <c r="N31" s="102">
        <f t="shared" si="11"/>
        <v>1.9378527929880696</v>
      </c>
      <c r="O31" s="101">
        <f t="shared" si="11"/>
        <v>2.2580843251355587</v>
      </c>
      <c r="P31" s="102">
        <f t="shared" si="11"/>
        <v>2.327285886454793</v>
      </c>
      <c r="Q31" s="101">
        <f t="shared" si="11"/>
        <v>1.5476555488196659</v>
      </c>
      <c r="R31" s="102">
        <f t="shared" si="11"/>
        <v>1.5637975488892513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57</v>
      </c>
      <c r="B32" s="40">
        <v>1</v>
      </c>
      <c r="C32" s="122" t="s">
        <v>84</v>
      </c>
      <c r="D32" s="182"/>
      <c r="E32" s="123"/>
      <c r="F32" s="126"/>
      <c r="G32" s="123"/>
      <c r="H32" s="174"/>
      <c r="I32" s="126"/>
      <c r="J32" s="126"/>
      <c r="K32" s="123"/>
      <c r="L32" s="174"/>
      <c r="M32" s="126"/>
      <c r="N32" s="126"/>
      <c r="O32" s="123"/>
      <c r="P32" s="174"/>
      <c r="Q32" s="75"/>
      <c r="R32" s="172"/>
      <c r="S32" s="17"/>
      <c r="T32" s="17"/>
      <c r="U32" s="17"/>
      <c r="V32" s="17"/>
      <c r="W32" s="19"/>
    </row>
    <row r="33" spans="1:23" ht="14.25" customHeight="1" x14ac:dyDescent="0.2">
      <c r="A33" s="206"/>
      <c r="B33" s="41">
        <v>2</v>
      </c>
      <c r="C33" s="122" t="s">
        <v>84</v>
      </c>
      <c r="D33" s="183"/>
      <c r="E33" s="127"/>
      <c r="F33" s="126"/>
      <c r="G33" s="127"/>
      <c r="H33" s="131"/>
      <c r="I33" s="126"/>
      <c r="J33" s="126"/>
      <c r="K33" s="127"/>
      <c r="L33" s="131"/>
      <c r="M33" s="126"/>
      <c r="N33" s="126"/>
      <c r="O33" s="127"/>
      <c r="P33" s="131"/>
      <c r="Q33" s="80"/>
      <c r="R33" s="86"/>
      <c r="S33" s="17"/>
      <c r="T33" s="17"/>
      <c r="U33" s="17"/>
      <c r="V33" s="17"/>
      <c r="W33" s="19"/>
    </row>
    <row r="34" spans="1:23" ht="14.25" customHeight="1" x14ac:dyDescent="0.2">
      <c r="A34" s="206"/>
      <c r="B34" s="43">
        <v>3</v>
      </c>
      <c r="C34" s="122" t="s">
        <v>84</v>
      </c>
      <c r="D34" s="183"/>
      <c r="E34" s="126"/>
      <c r="F34" s="126"/>
      <c r="G34" s="127"/>
      <c r="H34" s="131"/>
      <c r="I34" s="126"/>
      <c r="J34" s="126"/>
      <c r="K34" s="127"/>
      <c r="L34" s="131"/>
      <c r="M34" s="126"/>
      <c r="N34" s="126"/>
      <c r="O34" s="127"/>
      <c r="P34" s="131"/>
      <c r="Q34" s="80"/>
      <c r="R34" s="86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2" t="s">
        <v>84</v>
      </c>
      <c r="D35" s="183"/>
      <c r="E35" s="126"/>
      <c r="F35" s="126"/>
      <c r="G35" s="127"/>
      <c r="H35" s="131"/>
      <c r="I35" s="126"/>
      <c r="J35" s="126"/>
      <c r="K35" s="127"/>
      <c r="L35" s="131"/>
      <c r="M35" s="126"/>
      <c r="N35" s="126"/>
      <c r="O35" s="127"/>
      <c r="P35" s="131"/>
      <c r="Q35" s="80"/>
      <c r="R35" s="86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2" t="s">
        <v>84</v>
      </c>
      <c r="D36" s="183"/>
      <c r="E36" s="126"/>
      <c r="F36" s="126"/>
      <c r="G36" s="127"/>
      <c r="H36" s="131"/>
      <c r="I36" s="126"/>
      <c r="J36" s="126"/>
      <c r="K36" s="127"/>
      <c r="L36" s="131"/>
      <c r="M36" s="126"/>
      <c r="N36" s="126"/>
      <c r="O36" s="127"/>
      <c r="P36" s="131"/>
      <c r="Q36" s="80"/>
      <c r="R36" s="86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2" t="s">
        <v>84</v>
      </c>
      <c r="D37" s="183"/>
      <c r="E37" s="126"/>
      <c r="F37" s="126"/>
      <c r="G37" s="127"/>
      <c r="H37" s="131"/>
      <c r="I37" s="126"/>
      <c r="J37" s="126"/>
      <c r="K37" s="127"/>
      <c r="L37" s="131"/>
      <c r="M37" s="126"/>
      <c r="N37" s="126"/>
      <c r="O37" s="127"/>
      <c r="P37" s="131"/>
      <c r="Q37" s="80"/>
      <c r="R37" s="86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2" t="s">
        <v>84</v>
      </c>
      <c r="D38" s="184"/>
      <c r="E38" s="126"/>
      <c r="F38" s="126"/>
      <c r="G38" s="127"/>
      <c r="H38" s="131"/>
      <c r="I38" s="126"/>
      <c r="J38" s="126"/>
      <c r="K38" s="127"/>
      <c r="L38" s="131"/>
      <c r="M38" s="126"/>
      <c r="N38" s="126"/>
      <c r="O38" s="127"/>
      <c r="P38" s="131"/>
      <c r="Q38" s="80"/>
      <c r="R38" s="86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2" t="s">
        <v>84</v>
      </c>
      <c r="D39" s="184"/>
      <c r="E39" s="126"/>
      <c r="F39" s="126"/>
      <c r="G39" s="127"/>
      <c r="H39" s="131"/>
      <c r="I39" s="126"/>
      <c r="J39" s="126"/>
      <c r="K39" s="127"/>
      <c r="L39" s="131"/>
      <c r="M39" s="126"/>
      <c r="N39" s="126"/>
      <c r="O39" s="127"/>
      <c r="P39" s="131"/>
      <c r="Q39" s="80"/>
      <c r="R39" s="86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0"/>
      <c r="D40" s="129"/>
      <c r="E40" s="126"/>
      <c r="F40" s="126"/>
      <c r="G40" s="127"/>
      <c r="H40" s="131"/>
      <c r="I40" s="126"/>
      <c r="J40" s="126"/>
      <c r="K40" s="127"/>
      <c r="L40" s="131"/>
      <c r="M40" s="126"/>
      <c r="N40" s="126"/>
      <c r="O40" s="127"/>
      <c r="P40" s="131"/>
      <c r="Q40" s="80"/>
      <c r="R40" s="86"/>
      <c r="S40" s="17"/>
      <c r="T40" s="17"/>
      <c r="U40" s="17"/>
      <c r="V40" s="17"/>
      <c r="W40" s="19"/>
    </row>
    <row r="41" spans="1:23" ht="14.25" customHeight="1" x14ac:dyDescent="0.2">
      <c r="A41" s="42"/>
      <c r="B41" s="196">
        <v>10</v>
      </c>
      <c r="C41" s="197"/>
      <c r="D41" s="198"/>
      <c r="E41" s="126"/>
      <c r="F41" s="126"/>
      <c r="G41" s="132"/>
      <c r="H41" s="134"/>
      <c r="I41" s="126"/>
      <c r="J41" s="126"/>
      <c r="K41" s="132"/>
      <c r="L41" s="134"/>
      <c r="M41" s="126"/>
      <c r="N41" s="126"/>
      <c r="O41" s="132"/>
      <c r="P41" s="134"/>
      <c r="Q41" s="89"/>
      <c r="R41" s="90"/>
      <c r="S41" s="17"/>
      <c r="T41" s="17"/>
      <c r="U41" s="17"/>
      <c r="V41" s="17"/>
      <c r="W41" s="19"/>
    </row>
    <row r="42" spans="1:23" ht="14.25" customHeight="1" x14ac:dyDescent="0.2">
      <c r="A42" s="135"/>
      <c r="B42" s="136"/>
      <c r="C42" s="136"/>
      <c r="D42" s="137" t="s">
        <v>46</v>
      </c>
      <c r="E42" s="95" t="e">
        <f t="shared" ref="E42:R42" si="12">AVERAGE(E32:E41)</f>
        <v>#DIV/0!</v>
      </c>
      <c r="F42" s="96" t="e">
        <f t="shared" si="12"/>
        <v>#DIV/0!</v>
      </c>
      <c r="G42" s="95" t="e">
        <f t="shared" si="12"/>
        <v>#DIV/0!</v>
      </c>
      <c r="H42" s="96" t="e">
        <f t="shared" si="12"/>
        <v>#DIV/0!</v>
      </c>
      <c r="I42" s="95" t="e">
        <f t="shared" si="12"/>
        <v>#DIV/0!</v>
      </c>
      <c r="J42" s="96" t="e">
        <f t="shared" si="12"/>
        <v>#DIV/0!</v>
      </c>
      <c r="K42" s="95" t="e">
        <f t="shared" si="12"/>
        <v>#DIV/0!</v>
      </c>
      <c r="L42" s="96" t="e">
        <f t="shared" si="12"/>
        <v>#DIV/0!</v>
      </c>
      <c r="M42" s="95" t="e">
        <f t="shared" si="12"/>
        <v>#DIV/0!</v>
      </c>
      <c r="N42" s="96" t="e">
        <f t="shared" si="12"/>
        <v>#DIV/0!</v>
      </c>
      <c r="O42" s="95" t="e">
        <f t="shared" si="12"/>
        <v>#DIV/0!</v>
      </c>
      <c r="P42" s="96" t="e">
        <f t="shared" si="12"/>
        <v>#DIV/0!</v>
      </c>
      <c r="Q42" s="95" t="e">
        <f t="shared" si="12"/>
        <v>#DIV/0!</v>
      </c>
      <c r="R42" s="96" t="e">
        <f t="shared" si="12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38"/>
      <c r="B43" s="139"/>
      <c r="C43" s="139"/>
      <c r="D43" s="140" t="s">
        <v>47</v>
      </c>
      <c r="E43" s="101" t="e">
        <f t="shared" ref="E43:R43" si="13">STDEV(E32:E41)/SQRT(COUNT(E32:E41))</f>
        <v>#DIV/0!</v>
      </c>
      <c r="F43" s="102" t="e">
        <f t="shared" si="13"/>
        <v>#DIV/0!</v>
      </c>
      <c r="G43" s="101" t="e">
        <f t="shared" si="13"/>
        <v>#DIV/0!</v>
      </c>
      <c r="H43" s="102" t="e">
        <f t="shared" si="13"/>
        <v>#DIV/0!</v>
      </c>
      <c r="I43" s="101" t="e">
        <f t="shared" si="13"/>
        <v>#DIV/0!</v>
      </c>
      <c r="J43" s="102" t="e">
        <f t="shared" si="13"/>
        <v>#DIV/0!</v>
      </c>
      <c r="K43" s="101" t="e">
        <f t="shared" si="13"/>
        <v>#DIV/0!</v>
      </c>
      <c r="L43" s="102" t="e">
        <f t="shared" si="13"/>
        <v>#DIV/0!</v>
      </c>
      <c r="M43" s="101" t="e">
        <f t="shared" si="13"/>
        <v>#DIV/0!</v>
      </c>
      <c r="N43" s="102" t="e">
        <f t="shared" si="13"/>
        <v>#DIV/0!</v>
      </c>
      <c r="O43" s="101" t="e">
        <f t="shared" si="13"/>
        <v>#DIV/0!</v>
      </c>
      <c r="P43" s="102" t="e">
        <f t="shared" si="13"/>
        <v>#DIV/0!</v>
      </c>
      <c r="Q43" s="101" t="e">
        <f t="shared" si="13"/>
        <v>#DIV/0!</v>
      </c>
      <c r="R43" s="102" t="e">
        <f t="shared" si="13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63</v>
      </c>
      <c r="B44" s="53">
        <v>1</v>
      </c>
      <c r="C44" s="141" t="s">
        <v>84</v>
      </c>
      <c r="D44" s="185"/>
      <c r="E44" s="123"/>
      <c r="F44" s="126"/>
      <c r="G44" s="123"/>
      <c r="H44" s="174"/>
      <c r="I44" s="126"/>
      <c r="J44" s="126"/>
      <c r="K44" s="123"/>
      <c r="L44" s="174"/>
      <c r="M44" s="126"/>
      <c r="N44" s="126"/>
      <c r="O44" s="123"/>
      <c r="P44" s="174"/>
      <c r="Q44" s="75"/>
      <c r="R44" s="172"/>
      <c r="S44" s="17"/>
      <c r="T44" s="17"/>
      <c r="U44" s="17"/>
      <c r="V44" s="17"/>
      <c r="W44" s="19"/>
    </row>
    <row r="45" spans="1:23" ht="14.25" customHeight="1" x14ac:dyDescent="0.2">
      <c r="A45" s="207"/>
      <c r="B45" s="54">
        <v>2</v>
      </c>
      <c r="C45" s="141" t="s">
        <v>84</v>
      </c>
      <c r="D45" s="185"/>
      <c r="E45" s="127"/>
      <c r="F45" s="126"/>
      <c r="G45" s="127"/>
      <c r="H45" s="131"/>
      <c r="I45" s="126"/>
      <c r="J45" s="126"/>
      <c r="K45" s="127"/>
      <c r="L45" s="131"/>
      <c r="M45" s="126"/>
      <c r="N45" s="126"/>
      <c r="O45" s="127"/>
      <c r="P45" s="131"/>
      <c r="Q45" s="80"/>
      <c r="R45" s="86"/>
      <c r="S45" s="17"/>
      <c r="T45" s="17"/>
      <c r="U45" s="17"/>
      <c r="V45" s="17"/>
      <c r="W45" s="19"/>
    </row>
    <row r="46" spans="1:23" ht="14.25" customHeight="1" x14ac:dyDescent="0.2">
      <c r="A46" s="207"/>
      <c r="B46" s="56">
        <v>3</v>
      </c>
      <c r="C46" s="141" t="s">
        <v>84</v>
      </c>
      <c r="D46" s="186"/>
      <c r="E46" s="126"/>
      <c r="F46" s="126"/>
      <c r="G46" s="127"/>
      <c r="H46" s="131"/>
      <c r="I46" s="126"/>
      <c r="J46" s="126"/>
      <c r="K46" s="127"/>
      <c r="L46" s="131"/>
      <c r="M46" s="126"/>
      <c r="N46" s="126"/>
      <c r="O46" s="127"/>
      <c r="P46" s="131"/>
      <c r="Q46" s="80"/>
      <c r="R46" s="86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1" t="s">
        <v>84</v>
      </c>
      <c r="D47" s="186"/>
      <c r="E47" s="126"/>
      <c r="F47" s="126"/>
      <c r="G47" s="127"/>
      <c r="H47" s="131"/>
      <c r="I47" s="126"/>
      <c r="J47" s="126"/>
      <c r="K47" s="127"/>
      <c r="L47" s="131"/>
      <c r="M47" s="126"/>
      <c r="N47" s="126"/>
      <c r="O47" s="127"/>
      <c r="P47" s="131"/>
      <c r="Q47" s="80"/>
      <c r="R47" s="86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1" t="s">
        <v>84</v>
      </c>
      <c r="D48" s="186"/>
      <c r="E48" s="126"/>
      <c r="F48" s="126"/>
      <c r="G48" s="127"/>
      <c r="H48" s="131"/>
      <c r="I48" s="126"/>
      <c r="J48" s="126"/>
      <c r="K48" s="127"/>
      <c r="L48" s="131"/>
      <c r="M48" s="126"/>
      <c r="N48" s="126"/>
      <c r="O48" s="127"/>
      <c r="P48" s="131"/>
      <c r="Q48" s="80"/>
      <c r="R48" s="86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1" t="s">
        <v>84</v>
      </c>
      <c r="D49" s="186"/>
      <c r="E49" s="126"/>
      <c r="F49" s="126"/>
      <c r="G49" s="127"/>
      <c r="H49" s="131"/>
      <c r="I49" s="126"/>
      <c r="J49" s="126"/>
      <c r="K49" s="127"/>
      <c r="L49" s="131"/>
      <c r="M49" s="126"/>
      <c r="N49" s="126"/>
      <c r="O49" s="127"/>
      <c r="P49" s="131"/>
      <c r="Q49" s="80"/>
      <c r="R49" s="86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1" t="s">
        <v>84</v>
      </c>
      <c r="D50" s="187"/>
      <c r="E50" s="126"/>
      <c r="F50" s="126"/>
      <c r="G50" s="127"/>
      <c r="H50" s="131"/>
      <c r="I50" s="126"/>
      <c r="J50" s="126"/>
      <c r="K50" s="127"/>
      <c r="L50" s="131"/>
      <c r="M50" s="126"/>
      <c r="N50" s="126"/>
      <c r="O50" s="127"/>
      <c r="P50" s="131"/>
      <c r="Q50" s="80"/>
      <c r="R50" s="86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1" t="s">
        <v>84</v>
      </c>
      <c r="D51" s="187"/>
      <c r="E51" s="126"/>
      <c r="F51" s="126"/>
      <c r="G51" s="127"/>
      <c r="H51" s="131"/>
      <c r="I51" s="126"/>
      <c r="J51" s="126"/>
      <c r="K51" s="127"/>
      <c r="L51" s="131"/>
      <c r="M51" s="126"/>
      <c r="N51" s="126"/>
      <c r="O51" s="127"/>
      <c r="P51" s="131"/>
      <c r="Q51" s="80"/>
      <c r="R51" s="86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3"/>
      <c r="D52" s="142"/>
      <c r="E52" s="126"/>
      <c r="F52" s="126"/>
      <c r="G52" s="127"/>
      <c r="H52" s="131"/>
      <c r="I52" s="126"/>
      <c r="J52" s="126"/>
      <c r="K52" s="127"/>
      <c r="L52" s="131"/>
      <c r="M52" s="126"/>
      <c r="N52" s="126"/>
      <c r="O52" s="127"/>
      <c r="P52" s="131"/>
      <c r="Q52" s="80"/>
      <c r="R52" s="86"/>
      <c r="S52" s="17"/>
      <c r="T52" s="17"/>
      <c r="U52" s="17"/>
      <c r="V52" s="17"/>
      <c r="W52" s="19"/>
    </row>
    <row r="53" spans="1:23" ht="14.25" customHeight="1" x14ac:dyDescent="0.2">
      <c r="A53" s="55"/>
      <c r="B53" s="199">
        <v>10</v>
      </c>
      <c r="C53" s="200"/>
      <c r="D53" s="201"/>
      <c r="E53" s="126"/>
      <c r="F53" s="126"/>
      <c r="G53" s="132"/>
      <c r="H53" s="134"/>
      <c r="I53" s="126"/>
      <c r="J53" s="126"/>
      <c r="K53" s="132"/>
      <c r="L53" s="134"/>
      <c r="M53" s="126"/>
      <c r="N53" s="126"/>
      <c r="O53" s="132"/>
      <c r="P53" s="134"/>
      <c r="Q53" s="89"/>
      <c r="R53" s="90"/>
      <c r="S53" s="17"/>
      <c r="T53" s="17"/>
      <c r="U53" s="17"/>
      <c r="V53" s="17"/>
      <c r="W53" s="19"/>
    </row>
    <row r="54" spans="1:23" ht="14.25" customHeight="1" x14ac:dyDescent="0.2">
      <c r="A54" s="144"/>
      <c r="B54" s="145"/>
      <c r="C54" s="145"/>
      <c r="D54" s="146" t="s">
        <v>46</v>
      </c>
      <c r="E54" s="95" t="e">
        <f t="shared" ref="E54:R54" si="14">AVERAGE(E44:E53)</f>
        <v>#DIV/0!</v>
      </c>
      <c r="F54" s="96" t="e">
        <f t="shared" si="14"/>
        <v>#DIV/0!</v>
      </c>
      <c r="G54" s="95" t="e">
        <f t="shared" si="14"/>
        <v>#DIV/0!</v>
      </c>
      <c r="H54" s="96" t="e">
        <f t="shared" si="14"/>
        <v>#DIV/0!</v>
      </c>
      <c r="I54" s="95" t="e">
        <f t="shared" si="14"/>
        <v>#DIV/0!</v>
      </c>
      <c r="J54" s="96" t="e">
        <f t="shared" si="14"/>
        <v>#DIV/0!</v>
      </c>
      <c r="K54" s="95" t="e">
        <f t="shared" si="14"/>
        <v>#DIV/0!</v>
      </c>
      <c r="L54" s="96" t="e">
        <f t="shared" si="14"/>
        <v>#DIV/0!</v>
      </c>
      <c r="M54" s="95" t="e">
        <f t="shared" si="14"/>
        <v>#DIV/0!</v>
      </c>
      <c r="N54" s="96" t="e">
        <f t="shared" si="14"/>
        <v>#DIV/0!</v>
      </c>
      <c r="O54" s="95" t="e">
        <f t="shared" si="14"/>
        <v>#DIV/0!</v>
      </c>
      <c r="P54" s="96" t="e">
        <f t="shared" si="14"/>
        <v>#DIV/0!</v>
      </c>
      <c r="Q54" s="95" t="e">
        <f t="shared" si="14"/>
        <v>#DIV/0!</v>
      </c>
      <c r="R54" s="96" t="e">
        <f t="shared" si="14"/>
        <v>#DIV/0!</v>
      </c>
      <c r="S54" s="17"/>
      <c r="T54" s="17"/>
      <c r="U54" s="17"/>
      <c r="V54" s="17"/>
      <c r="W54" s="19"/>
    </row>
    <row r="55" spans="1:23" ht="14.25" customHeight="1" x14ac:dyDescent="0.2">
      <c r="A55" s="147"/>
      <c r="B55" s="148"/>
      <c r="C55" s="148"/>
      <c r="D55" s="149" t="s">
        <v>47</v>
      </c>
      <c r="E55" s="101" t="e">
        <f t="shared" ref="E55:R55" si="15">STDEV(E44:E53)/SQRT(COUNT(E44:E53))</f>
        <v>#DIV/0!</v>
      </c>
      <c r="F55" s="102" t="e">
        <f t="shared" si="15"/>
        <v>#DIV/0!</v>
      </c>
      <c r="G55" s="101" t="e">
        <f t="shared" si="15"/>
        <v>#DIV/0!</v>
      </c>
      <c r="H55" s="102" t="e">
        <f t="shared" si="15"/>
        <v>#DIV/0!</v>
      </c>
      <c r="I55" s="101" t="e">
        <f t="shared" si="15"/>
        <v>#DIV/0!</v>
      </c>
      <c r="J55" s="102" t="e">
        <f t="shared" si="15"/>
        <v>#DIV/0!</v>
      </c>
      <c r="K55" s="101" t="e">
        <f t="shared" si="15"/>
        <v>#DIV/0!</v>
      </c>
      <c r="L55" s="102" t="e">
        <f t="shared" si="15"/>
        <v>#DIV/0!</v>
      </c>
      <c r="M55" s="101" t="e">
        <f t="shared" si="15"/>
        <v>#DIV/0!</v>
      </c>
      <c r="N55" s="102" t="e">
        <f t="shared" si="15"/>
        <v>#DIV/0!</v>
      </c>
      <c r="O55" s="101" t="e">
        <f t="shared" si="15"/>
        <v>#DIV/0!</v>
      </c>
      <c r="P55" s="102" t="e">
        <f t="shared" si="15"/>
        <v>#DIV/0!</v>
      </c>
      <c r="Q55" s="101" t="e">
        <f t="shared" si="15"/>
        <v>#DIV/0!</v>
      </c>
      <c r="R55" s="102" t="e">
        <f t="shared" si="15"/>
        <v>#DIV/0!</v>
      </c>
      <c r="S55" s="17"/>
      <c r="T55" s="17"/>
      <c r="U55" s="17"/>
      <c r="V55" s="17"/>
      <c r="W55" s="19"/>
    </row>
    <row r="56" spans="1:23" ht="14.25" customHeight="1" x14ac:dyDescent="0.2">
      <c r="A56" s="169"/>
      <c r="B56" s="150"/>
      <c r="C56" s="150" t="s">
        <v>49</v>
      </c>
      <c r="D56" s="150" t="s">
        <v>50</v>
      </c>
      <c r="E56" s="151">
        <f>TTEST(E8:E17,E20:E29,2,2)</f>
        <v>0.30017689851525764</v>
      </c>
      <c r="F56" s="151">
        <f t="shared" ref="F56:R56" si="16">TTEST(F8:F17,F20:F29,2,2)</f>
        <v>0.30017738652197828</v>
      </c>
      <c r="G56" s="151">
        <f t="shared" si="16"/>
        <v>0.85402880388025426</v>
      </c>
      <c r="H56" s="151">
        <f t="shared" si="16"/>
        <v>0.85501891822557619</v>
      </c>
      <c r="I56" s="151">
        <f t="shared" si="16"/>
        <v>0.89761098358430258</v>
      </c>
      <c r="J56" s="151">
        <f t="shared" si="16"/>
        <v>0.88364185208952617</v>
      </c>
      <c r="K56" s="151">
        <f t="shared" si="16"/>
        <v>0.48583645621534277</v>
      </c>
      <c r="L56" s="151">
        <f t="shared" si="16"/>
        <v>0.49874391240900873</v>
      </c>
      <c r="M56" s="151">
        <f t="shared" si="16"/>
        <v>0.82898954267746117</v>
      </c>
      <c r="N56" s="151">
        <f t="shared" si="16"/>
        <v>0.84817681797174693</v>
      </c>
      <c r="O56" s="151">
        <f t="shared" si="16"/>
        <v>0.70703582638497231</v>
      </c>
      <c r="P56" s="151">
        <f t="shared" si="16"/>
        <v>0.67353280642261448</v>
      </c>
      <c r="Q56" s="151">
        <f t="shared" si="16"/>
        <v>0.8093471532727059</v>
      </c>
      <c r="R56" s="151">
        <f t="shared" si="16"/>
        <v>0.79360448669276806</v>
      </c>
      <c r="S56" s="17"/>
      <c r="T56" s="17"/>
      <c r="U56" s="17"/>
      <c r="V56" s="17"/>
      <c r="W56" s="19"/>
    </row>
    <row r="57" spans="1:23" ht="14.25" customHeight="1" x14ac:dyDescent="0.2">
      <c r="A57" s="169"/>
      <c r="B57" s="150"/>
      <c r="C57" s="150"/>
      <c r="D57" s="150" t="s">
        <v>58</v>
      </c>
      <c r="E57" s="151" t="e">
        <f>TTEST(E8:E17,E32:E41,2,2)</f>
        <v>#DIV/0!</v>
      </c>
      <c r="F57" s="151" t="e">
        <f t="shared" ref="F57:R57" si="17">TTEST(F8:F17,F32:F41,2,2)</f>
        <v>#DIV/0!</v>
      </c>
      <c r="G57" s="151" t="e">
        <f t="shared" si="17"/>
        <v>#DIV/0!</v>
      </c>
      <c r="H57" s="151" t="e">
        <f t="shared" si="17"/>
        <v>#DIV/0!</v>
      </c>
      <c r="I57" s="151" t="e">
        <f t="shared" si="17"/>
        <v>#DIV/0!</v>
      </c>
      <c r="J57" s="151" t="e">
        <f t="shared" si="17"/>
        <v>#DIV/0!</v>
      </c>
      <c r="K57" s="151" t="e">
        <f t="shared" si="17"/>
        <v>#DIV/0!</v>
      </c>
      <c r="L57" s="151" t="e">
        <f t="shared" si="17"/>
        <v>#DIV/0!</v>
      </c>
      <c r="M57" s="151" t="e">
        <f t="shared" si="17"/>
        <v>#DIV/0!</v>
      </c>
      <c r="N57" s="151" t="e">
        <f t="shared" si="17"/>
        <v>#DIV/0!</v>
      </c>
      <c r="O57" s="151" t="e">
        <f t="shared" si="17"/>
        <v>#DIV/0!</v>
      </c>
      <c r="P57" s="151" t="e">
        <f t="shared" si="17"/>
        <v>#DIV/0!</v>
      </c>
      <c r="Q57" s="151" t="e">
        <f t="shared" si="17"/>
        <v>#DIV/0!</v>
      </c>
      <c r="R57" s="151" t="e">
        <f t="shared" si="17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69"/>
      <c r="B58" s="150"/>
      <c r="C58" s="150"/>
      <c r="D58" s="150" t="s">
        <v>64</v>
      </c>
      <c r="E58" s="151" t="e">
        <f>TTEST(E8:E17,E44:E53,2,2)</f>
        <v>#DIV/0!</v>
      </c>
      <c r="F58" s="151" t="e">
        <f t="shared" ref="F58:R58" si="18">TTEST(F8:F17,F44:F53,2,2)</f>
        <v>#DIV/0!</v>
      </c>
      <c r="G58" s="151" t="e">
        <f t="shared" si="18"/>
        <v>#DIV/0!</v>
      </c>
      <c r="H58" s="151" t="e">
        <f t="shared" si="18"/>
        <v>#DIV/0!</v>
      </c>
      <c r="I58" s="151" t="e">
        <f t="shared" si="18"/>
        <v>#DIV/0!</v>
      </c>
      <c r="J58" s="151" t="e">
        <f t="shared" si="18"/>
        <v>#DIV/0!</v>
      </c>
      <c r="K58" s="151" t="e">
        <f t="shared" si="18"/>
        <v>#DIV/0!</v>
      </c>
      <c r="L58" s="151" t="e">
        <f t="shared" si="18"/>
        <v>#DIV/0!</v>
      </c>
      <c r="M58" s="151" t="e">
        <f t="shared" si="18"/>
        <v>#DIV/0!</v>
      </c>
      <c r="N58" s="151" t="e">
        <f t="shared" si="18"/>
        <v>#DIV/0!</v>
      </c>
      <c r="O58" s="151" t="e">
        <f t="shared" si="18"/>
        <v>#DIV/0!</v>
      </c>
      <c r="P58" s="151" t="e">
        <f t="shared" si="18"/>
        <v>#DIV/0!</v>
      </c>
      <c r="Q58" s="151" t="e">
        <f t="shared" si="18"/>
        <v>#DIV/0!</v>
      </c>
      <c r="R58" s="151" t="e">
        <f t="shared" si="18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69"/>
      <c r="B59" s="150"/>
      <c r="C59" s="150"/>
      <c r="D59" s="150" t="s">
        <v>59</v>
      </c>
      <c r="E59" s="151" t="e">
        <f>TTEST(E20:E29,E32:E41,2,2)</f>
        <v>#DIV/0!</v>
      </c>
      <c r="F59" s="151" t="e">
        <f t="shared" ref="F59:R59" si="19">TTEST(F20:F29,F32:F41,2,2)</f>
        <v>#DIV/0!</v>
      </c>
      <c r="G59" s="151" t="e">
        <f t="shared" si="19"/>
        <v>#DIV/0!</v>
      </c>
      <c r="H59" s="151" t="e">
        <f t="shared" si="19"/>
        <v>#DIV/0!</v>
      </c>
      <c r="I59" s="151" t="e">
        <f t="shared" si="19"/>
        <v>#DIV/0!</v>
      </c>
      <c r="J59" s="151" t="e">
        <f t="shared" si="19"/>
        <v>#DIV/0!</v>
      </c>
      <c r="K59" s="151" t="e">
        <f t="shared" si="19"/>
        <v>#DIV/0!</v>
      </c>
      <c r="L59" s="151" t="e">
        <f t="shared" si="19"/>
        <v>#DIV/0!</v>
      </c>
      <c r="M59" s="151" t="e">
        <f t="shared" si="19"/>
        <v>#DIV/0!</v>
      </c>
      <c r="N59" s="151" t="e">
        <f t="shared" si="19"/>
        <v>#DIV/0!</v>
      </c>
      <c r="O59" s="151" t="e">
        <f t="shared" si="19"/>
        <v>#DIV/0!</v>
      </c>
      <c r="P59" s="151" t="e">
        <f t="shared" si="19"/>
        <v>#DIV/0!</v>
      </c>
      <c r="Q59" s="151" t="e">
        <f t="shared" si="19"/>
        <v>#DIV/0!</v>
      </c>
      <c r="R59" s="151" t="e">
        <f t="shared" si="19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69"/>
      <c r="B60" s="150"/>
      <c r="C60" s="150"/>
      <c r="D60" s="150" t="s">
        <v>65</v>
      </c>
      <c r="E60" s="151" t="e">
        <f>TTEST(E20:E29,E44:E53,2,2)</f>
        <v>#DIV/0!</v>
      </c>
      <c r="F60" s="151" t="e">
        <f t="shared" ref="F60:R60" si="20">TTEST(F20:F29,F44:F53,2,2)</f>
        <v>#DIV/0!</v>
      </c>
      <c r="G60" s="151" t="e">
        <f t="shared" si="20"/>
        <v>#DIV/0!</v>
      </c>
      <c r="H60" s="151" t="e">
        <f t="shared" si="20"/>
        <v>#DIV/0!</v>
      </c>
      <c r="I60" s="151" t="e">
        <f t="shared" si="20"/>
        <v>#DIV/0!</v>
      </c>
      <c r="J60" s="151" t="e">
        <f t="shared" si="20"/>
        <v>#DIV/0!</v>
      </c>
      <c r="K60" s="151" t="e">
        <f t="shared" si="20"/>
        <v>#DIV/0!</v>
      </c>
      <c r="L60" s="151" t="e">
        <f t="shared" si="20"/>
        <v>#DIV/0!</v>
      </c>
      <c r="M60" s="151" t="e">
        <f t="shared" si="20"/>
        <v>#DIV/0!</v>
      </c>
      <c r="N60" s="151" t="e">
        <f t="shared" si="20"/>
        <v>#DIV/0!</v>
      </c>
      <c r="O60" s="151" t="e">
        <f t="shared" si="20"/>
        <v>#DIV/0!</v>
      </c>
      <c r="P60" s="151" t="e">
        <f t="shared" si="20"/>
        <v>#DIV/0!</v>
      </c>
      <c r="Q60" s="151" t="e">
        <f t="shared" si="20"/>
        <v>#DIV/0!</v>
      </c>
      <c r="R60" s="151" t="e">
        <f t="shared" si="20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69"/>
      <c r="B61" s="150"/>
      <c r="C61" s="150"/>
      <c r="D61" s="150" t="s">
        <v>66</v>
      </c>
      <c r="E61" s="151" t="e">
        <f>TTEST(E32:E41,E44:E53,2,2)</f>
        <v>#DIV/0!</v>
      </c>
      <c r="F61" s="151" t="e">
        <f t="shared" ref="F61:R61" si="21">TTEST(F32:F41,F44:F53,2,2)</f>
        <v>#DIV/0!</v>
      </c>
      <c r="G61" s="151" t="e">
        <f t="shared" si="21"/>
        <v>#DIV/0!</v>
      </c>
      <c r="H61" s="151" t="e">
        <f t="shared" si="21"/>
        <v>#DIV/0!</v>
      </c>
      <c r="I61" s="151" t="e">
        <f t="shared" si="21"/>
        <v>#DIV/0!</v>
      </c>
      <c r="J61" s="151" t="e">
        <f t="shared" si="21"/>
        <v>#DIV/0!</v>
      </c>
      <c r="K61" s="151" t="e">
        <f t="shared" si="21"/>
        <v>#DIV/0!</v>
      </c>
      <c r="L61" s="151" t="e">
        <f t="shared" si="21"/>
        <v>#DIV/0!</v>
      </c>
      <c r="M61" s="151" t="e">
        <f t="shared" si="21"/>
        <v>#DIV/0!</v>
      </c>
      <c r="N61" s="151" t="e">
        <f t="shared" si="21"/>
        <v>#DIV/0!</v>
      </c>
      <c r="O61" s="151" t="e">
        <f t="shared" si="21"/>
        <v>#DIV/0!</v>
      </c>
      <c r="P61" s="151" t="e">
        <f t="shared" si="21"/>
        <v>#DIV/0!</v>
      </c>
      <c r="Q61" s="151" t="e">
        <f t="shared" si="21"/>
        <v>#DIV/0!</v>
      </c>
      <c r="R61" s="151" t="e">
        <f t="shared" si="21"/>
        <v>#DIV/0!</v>
      </c>
      <c r="S61" s="17"/>
      <c r="T61" s="17"/>
      <c r="U61" s="17"/>
      <c r="V61" s="17"/>
      <c r="W61" s="19"/>
    </row>
    <row r="62" spans="1:23" ht="14.25" customHeight="1" x14ac:dyDescent="0.2">
      <c r="A62" s="57"/>
      <c r="B62" s="58"/>
      <c r="C62" s="59"/>
      <c r="D62" s="59"/>
      <c r="E62" s="60"/>
      <c r="F62" s="60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44"/>
      <c r="T62" s="44"/>
      <c r="U62" s="44"/>
      <c r="V62" s="44"/>
      <c r="W62" s="45"/>
    </row>
  </sheetData>
  <sheetProtection algorithmName="SHA-512" hashValue="l53y3fQV56L3UnOtoqn/Kv9yrGD91Zk042H4d8B/u5d2AejgJf7a/bPimxGlVXTBv/aD1XBze5LezAtTQptp5g==" saltValue="FFuuSukgXcVkJJ3QVTF9OQ==" spinCount="100000" sheet="1" objects="1" scenarios="1"/>
  <mergeCells count="11">
    <mergeCell ref="Q5:R5"/>
    <mergeCell ref="O5:P5"/>
    <mergeCell ref="M5:N5"/>
    <mergeCell ref="K5:L5"/>
    <mergeCell ref="I5:J5"/>
    <mergeCell ref="A9:A10"/>
    <mergeCell ref="A21:A22"/>
    <mergeCell ref="A33:A34"/>
    <mergeCell ref="A45:A46"/>
    <mergeCell ref="G5:H5"/>
    <mergeCell ref="E5:F5"/>
  </mergeCells>
  <conditionalFormatting sqref="E56:R61">
    <cfRule type="cellIs" dxfId="2" priority="1" operator="lessThan">
      <formula>0.05</formula>
    </cfRule>
    <cfRule type="cellIs" dxfId="1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zoomScaleNormal="100" workbookViewId="0">
      <selection activeCell="M20" sqref="M20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62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1" t="s">
        <v>31</v>
      </c>
      <c r="F5" s="212"/>
      <c r="G5" s="211" t="s">
        <v>32</v>
      </c>
      <c r="H5" s="212"/>
      <c r="I5" s="211" t="s">
        <v>33</v>
      </c>
      <c r="J5" s="212"/>
      <c r="K5" s="211" t="s">
        <v>34</v>
      </c>
      <c r="L5" s="212"/>
      <c r="M5" s="211" t="s">
        <v>35</v>
      </c>
      <c r="N5" s="212"/>
      <c r="O5" s="211" t="s">
        <v>36</v>
      </c>
      <c r="P5" s="212"/>
      <c r="Q5" s="211" t="s">
        <v>37</v>
      </c>
      <c r="R5" s="212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51</v>
      </c>
      <c r="F6" s="27" t="s">
        <v>52</v>
      </c>
      <c r="G6" s="26" t="s">
        <v>51</v>
      </c>
      <c r="H6" s="27" t="s">
        <v>52</v>
      </c>
      <c r="I6" s="26" t="s">
        <v>51</v>
      </c>
      <c r="J6" s="27" t="s">
        <v>52</v>
      </c>
      <c r="K6" s="26" t="s">
        <v>51</v>
      </c>
      <c r="L6" s="27" t="s">
        <v>52</v>
      </c>
      <c r="M6" s="26" t="s">
        <v>51</v>
      </c>
      <c r="N6" s="27" t="s">
        <v>52</v>
      </c>
      <c r="O6" s="26" t="s">
        <v>51</v>
      </c>
      <c r="P6" s="27" t="s">
        <v>52</v>
      </c>
      <c r="Q6" s="26" t="s">
        <v>51</v>
      </c>
      <c r="R6" s="28" t="s">
        <v>52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40</v>
      </c>
      <c r="C7" s="30" t="s">
        <v>41</v>
      </c>
      <c r="D7" s="31" t="s">
        <v>42</v>
      </c>
      <c r="E7" s="32" t="s">
        <v>53</v>
      </c>
      <c r="F7" s="33" t="s">
        <v>54</v>
      </c>
      <c r="G7" s="32" t="s">
        <v>53</v>
      </c>
      <c r="H7" s="33" t="s">
        <v>54</v>
      </c>
      <c r="I7" s="32" t="s">
        <v>53</v>
      </c>
      <c r="J7" s="33" t="s">
        <v>54</v>
      </c>
      <c r="K7" s="32" t="s">
        <v>53</v>
      </c>
      <c r="L7" s="33" t="s">
        <v>54</v>
      </c>
      <c r="M7" s="32" t="s">
        <v>53</v>
      </c>
      <c r="N7" s="33" t="s">
        <v>54</v>
      </c>
      <c r="O7" s="32" t="s">
        <v>53</v>
      </c>
      <c r="P7" s="33" t="s">
        <v>54</v>
      </c>
      <c r="Q7" s="32" t="s">
        <v>53</v>
      </c>
      <c r="R7" s="32" t="s">
        <v>54</v>
      </c>
      <c r="S7" s="17"/>
      <c r="T7" s="17"/>
      <c r="U7" s="17"/>
      <c r="V7" s="17"/>
      <c r="W7" s="19"/>
    </row>
    <row r="8" spans="1:23" ht="14.25" customHeight="1" x14ac:dyDescent="0.2">
      <c r="A8" s="34" t="s">
        <v>45</v>
      </c>
      <c r="B8" s="73">
        <v>1</v>
      </c>
      <c r="C8" s="74" t="s">
        <v>88</v>
      </c>
      <c r="D8" s="179">
        <v>5997</v>
      </c>
      <c r="E8" s="75">
        <v>1007.29</v>
      </c>
      <c r="F8" s="172">
        <v>30218.9</v>
      </c>
      <c r="G8" s="77">
        <v>596.69100000000003</v>
      </c>
      <c r="H8" s="172">
        <v>17900.900000000001</v>
      </c>
      <c r="I8" s="77">
        <v>729.98400000000004</v>
      </c>
      <c r="J8" s="172">
        <v>21899.7</v>
      </c>
      <c r="K8" s="77">
        <v>692.47900000000004</v>
      </c>
      <c r="L8" s="172">
        <v>20774.599999999999</v>
      </c>
      <c r="M8" s="77">
        <v>668.14200000000005</v>
      </c>
      <c r="N8" s="172">
        <v>20044.5</v>
      </c>
      <c r="O8" s="77">
        <v>608.94299999999998</v>
      </c>
      <c r="P8" s="172">
        <v>18268.5</v>
      </c>
      <c r="Q8" s="77">
        <f>SUM(E8,G8,I8,K8,M8,O8)</f>
        <v>4303.5290000000005</v>
      </c>
      <c r="R8" s="172">
        <f>AVERAGE(F8,H8,J8,L8,N8,P8)</f>
        <v>21517.850000000002</v>
      </c>
      <c r="S8" s="17"/>
      <c r="T8" s="17"/>
      <c r="U8" s="17"/>
      <c r="V8" s="17"/>
      <c r="W8" s="19"/>
    </row>
    <row r="9" spans="1:23" ht="14.25" customHeight="1" x14ac:dyDescent="0.2">
      <c r="A9" s="204" t="s">
        <v>83</v>
      </c>
      <c r="B9" s="79">
        <v>2</v>
      </c>
      <c r="C9" s="74" t="s">
        <v>88</v>
      </c>
      <c r="D9" s="179">
        <v>5998</v>
      </c>
      <c r="E9" s="80">
        <v>1047.04</v>
      </c>
      <c r="F9" s="86">
        <v>31411.4</v>
      </c>
      <c r="G9" s="82">
        <v>748.77800000000002</v>
      </c>
      <c r="H9" s="86">
        <v>22463.599999999999</v>
      </c>
      <c r="I9" s="82">
        <v>571.04</v>
      </c>
      <c r="J9" s="86">
        <v>17131.400000000001</v>
      </c>
      <c r="K9" s="82">
        <v>851.01099999999997</v>
      </c>
      <c r="L9" s="86">
        <v>25530.6</v>
      </c>
      <c r="M9" s="82">
        <v>717.505</v>
      </c>
      <c r="N9" s="86">
        <v>21525.4</v>
      </c>
      <c r="O9" s="82">
        <v>768.62300000000005</v>
      </c>
      <c r="P9" s="86">
        <v>23058.9</v>
      </c>
      <c r="Q9" s="82">
        <f>SUM(E9,G9,I9,K9,M9,O9)</f>
        <v>4703.9970000000003</v>
      </c>
      <c r="R9" s="86">
        <f t="shared" ref="R9:R11" si="0">AVERAGE(F9,H9,J9,L9,N9,P9)</f>
        <v>23520.216666666664</v>
      </c>
      <c r="S9" s="17"/>
      <c r="T9" s="17"/>
      <c r="U9" s="17"/>
      <c r="V9" s="17"/>
      <c r="W9" s="19"/>
    </row>
    <row r="10" spans="1:23" ht="14.25" customHeight="1" x14ac:dyDescent="0.2">
      <c r="A10" s="204"/>
      <c r="B10" s="79">
        <v>3</v>
      </c>
      <c r="C10" s="74" t="s">
        <v>88</v>
      </c>
      <c r="D10" s="179">
        <v>5999</v>
      </c>
      <c r="E10" s="80">
        <v>883.66200000000003</v>
      </c>
      <c r="F10" s="86">
        <v>26510.1</v>
      </c>
      <c r="G10" s="82">
        <v>754.79200000000003</v>
      </c>
      <c r="H10" s="86">
        <v>22644</v>
      </c>
      <c r="I10" s="82">
        <v>674.48299999999995</v>
      </c>
      <c r="J10" s="86">
        <v>20234.7</v>
      </c>
      <c r="K10" s="82">
        <v>997.28800000000001</v>
      </c>
      <c r="L10" s="86">
        <v>29918.9</v>
      </c>
      <c r="M10" s="82">
        <v>881.40499999999997</v>
      </c>
      <c r="N10" s="86">
        <v>26442.400000000001</v>
      </c>
      <c r="O10" s="82">
        <v>707.46799999999996</v>
      </c>
      <c r="P10" s="86">
        <v>21224.2</v>
      </c>
      <c r="Q10" s="82">
        <f>SUM(E10,G10,I10,K10,M10,O10)</f>
        <v>4899.098</v>
      </c>
      <c r="R10" s="86">
        <f t="shared" si="0"/>
        <v>24495.716666666671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88</v>
      </c>
      <c r="D11" s="179">
        <v>6000</v>
      </c>
      <c r="E11" s="80">
        <v>2021.83</v>
      </c>
      <c r="F11" s="86">
        <v>60655.6</v>
      </c>
      <c r="G11" s="80">
        <v>1149.76</v>
      </c>
      <c r="H11" s="86">
        <v>34493.199999999997</v>
      </c>
      <c r="I11" s="82">
        <v>1095.1400000000001</v>
      </c>
      <c r="J11" s="82">
        <v>32854.5</v>
      </c>
      <c r="K11" s="80">
        <v>963.56399999999996</v>
      </c>
      <c r="L11" s="86">
        <v>28907.200000000001</v>
      </c>
      <c r="M11" s="82">
        <v>1186.79</v>
      </c>
      <c r="N11" s="82">
        <v>35604.1</v>
      </c>
      <c r="O11" s="80">
        <v>980.07399999999996</v>
      </c>
      <c r="P11" s="82">
        <v>29402.5</v>
      </c>
      <c r="Q11" s="80">
        <f>SUM(E11,G11,I11,K11,M11,O11)</f>
        <v>7397.1580000000004</v>
      </c>
      <c r="R11" s="86">
        <f t="shared" si="0"/>
        <v>36986.183333333334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/>
      <c r="D12" s="179"/>
      <c r="E12" s="80"/>
      <c r="F12" s="86"/>
      <c r="G12" s="80"/>
      <c r="H12" s="86"/>
      <c r="I12" s="82"/>
      <c r="J12" s="82"/>
      <c r="K12" s="80"/>
      <c r="L12" s="86"/>
      <c r="M12" s="82"/>
      <c r="N12" s="82"/>
      <c r="O12" s="80"/>
      <c r="P12" s="86"/>
      <c r="Q12" s="82"/>
      <c r="R12" s="86"/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/>
      <c r="D13" s="179"/>
      <c r="E13" s="80"/>
      <c r="F13" s="86"/>
      <c r="G13" s="80"/>
      <c r="H13" s="86"/>
      <c r="I13" s="82"/>
      <c r="J13" s="82"/>
      <c r="K13" s="80"/>
      <c r="L13" s="86"/>
      <c r="M13" s="82"/>
      <c r="N13" s="82"/>
      <c r="O13" s="80"/>
      <c r="P13" s="82"/>
      <c r="Q13" s="80"/>
      <c r="R13" s="86"/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/>
      <c r="D14" s="189"/>
      <c r="E14" s="80"/>
      <c r="F14" s="86"/>
      <c r="G14" s="80"/>
      <c r="H14" s="86"/>
      <c r="I14" s="82"/>
      <c r="J14" s="82"/>
      <c r="K14" s="80"/>
      <c r="L14" s="86"/>
      <c r="M14" s="82"/>
      <c r="N14" s="82"/>
      <c r="O14" s="80"/>
      <c r="P14" s="86"/>
      <c r="Q14" s="82"/>
      <c r="R14" s="86"/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/>
      <c r="D15" s="189"/>
      <c r="E15" s="80"/>
      <c r="F15" s="86"/>
      <c r="G15" s="80"/>
      <c r="H15" s="86"/>
      <c r="I15" s="82"/>
      <c r="J15" s="82"/>
      <c r="K15" s="80"/>
      <c r="L15" s="86"/>
      <c r="M15" s="82"/>
      <c r="N15" s="82"/>
      <c r="O15" s="80"/>
      <c r="P15" s="82"/>
      <c r="Q15" s="80"/>
      <c r="R15" s="86"/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2"/>
      <c r="Q16" s="80"/>
      <c r="R16" s="86"/>
      <c r="S16" s="17"/>
      <c r="T16" s="17"/>
      <c r="U16" s="17"/>
      <c r="V16" s="17"/>
      <c r="W16" s="19"/>
    </row>
    <row r="17" spans="1:23" ht="14.25" customHeight="1" x14ac:dyDescent="0.2">
      <c r="A17" s="35"/>
      <c r="B17" s="190">
        <v>10</v>
      </c>
      <c r="C17" s="191"/>
      <c r="D17" s="192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173"/>
      <c r="Q17" s="89"/>
      <c r="R17" s="90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46</v>
      </c>
      <c r="E18" s="95">
        <f t="shared" ref="E18:P18" si="1">AVERAGE(E8:E17)</f>
        <v>1239.9555</v>
      </c>
      <c r="F18" s="96">
        <f t="shared" si="1"/>
        <v>37199</v>
      </c>
      <c r="G18" s="95">
        <f t="shared" si="1"/>
        <v>812.50524999999993</v>
      </c>
      <c r="H18" s="96">
        <f t="shared" si="1"/>
        <v>24375.424999999999</v>
      </c>
      <c r="I18" s="95">
        <f t="shared" si="1"/>
        <v>767.66174999999998</v>
      </c>
      <c r="J18" s="96">
        <f t="shared" si="1"/>
        <v>23030.075000000001</v>
      </c>
      <c r="K18" s="95">
        <f t="shared" si="1"/>
        <v>876.08550000000002</v>
      </c>
      <c r="L18" s="96">
        <f t="shared" si="1"/>
        <v>26282.825000000001</v>
      </c>
      <c r="M18" s="95">
        <f t="shared" si="1"/>
        <v>863.46049999999991</v>
      </c>
      <c r="N18" s="96">
        <f t="shared" si="1"/>
        <v>25904.1</v>
      </c>
      <c r="O18" s="95">
        <f t="shared" si="1"/>
        <v>766.27700000000004</v>
      </c>
      <c r="P18" s="96">
        <f t="shared" si="1"/>
        <v>22988.525000000001</v>
      </c>
      <c r="Q18" s="95">
        <f t="shared" ref="Q18:R18" si="2">AVERAGE(Q8:Q17)</f>
        <v>5325.9455000000007</v>
      </c>
      <c r="R18" s="96">
        <f t="shared" si="2"/>
        <v>26629.991666666669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47</v>
      </c>
      <c r="E19" s="101">
        <f t="shared" ref="E19:P19" si="3">STDEV(E8:E17)/SQRT(COUNT(E8:E17))</f>
        <v>262.93573627456954</v>
      </c>
      <c r="F19" s="102">
        <f t="shared" si="3"/>
        <v>7888.191472807096</v>
      </c>
      <c r="G19" s="101">
        <f t="shared" si="3"/>
        <v>118.21891364426089</v>
      </c>
      <c r="H19" s="102">
        <f t="shared" si="3"/>
        <v>3546.6151972397088</v>
      </c>
      <c r="I19" s="101">
        <f t="shared" si="3"/>
        <v>114.01900758672889</v>
      </c>
      <c r="J19" s="102">
        <f t="shared" si="3"/>
        <v>3420.5940318349712</v>
      </c>
      <c r="K19" s="101">
        <f t="shared" si="3"/>
        <v>68.728094304658399</v>
      </c>
      <c r="L19" s="102">
        <f t="shared" si="3"/>
        <v>2061.8513252151984</v>
      </c>
      <c r="M19" s="101">
        <f t="shared" si="3"/>
        <v>117.01719783611607</v>
      </c>
      <c r="N19" s="102">
        <f t="shared" si="3"/>
        <v>3510.5518647358026</v>
      </c>
      <c r="O19" s="101">
        <f t="shared" si="3"/>
        <v>78.489461586678203</v>
      </c>
      <c r="P19" s="102">
        <f t="shared" si="3"/>
        <v>2354.7028589523429</v>
      </c>
      <c r="Q19" s="101">
        <f t="shared" ref="Q19:R19" si="4">STDEV(Q8:Q17)/SQRT(COUNT(Q8:Q17))</f>
        <v>701.44347862918653</v>
      </c>
      <c r="R19" s="102">
        <f t="shared" si="4"/>
        <v>3507.2606663778574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48</v>
      </c>
      <c r="B20" s="37">
        <v>1</v>
      </c>
      <c r="C20" s="104" t="s">
        <v>84</v>
      </c>
      <c r="D20" s="180">
        <v>792</v>
      </c>
      <c r="E20" s="82">
        <v>1747.7</v>
      </c>
      <c r="F20" s="86">
        <v>52431.5</v>
      </c>
      <c r="G20" s="80">
        <v>932.87400000000002</v>
      </c>
      <c r="H20" s="86">
        <v>27986.5</v>
      </c>
      <c r="I20" s="82">
        <v>962.48299999999995</v>
      </c>
      <c r="J20" s="82">
        <v>28874.799999999999</v>
      </c>
      <c r="K20" s="80">
        <v>912.83399999999995</v>
      </c>
      <c r="L20" s="86">
        <v>27385.3</v>
      </c>
      <c r="M20" s="82">
        <v>981.803</v>
      </c>
      <c r="N20" s="82">
        <v>29454.400000000001</v>
      </c>
      <c r="O20" s="80">
        <v>1056.8699999999999</v>
      </c>
      <c r="P20" s="86">
        <v>31706.5</v>
      </c>
      <c r="Q20" s="80">
        <f t="shared" ref="Q20" si="5">SUM(E20,G20,I20,K20,M20,O20)</f>
        <v>6594.5639999999994</v>
      </c>
      <c r="R20" s="86">
        <f t="shared" ref="R20" si="6">AVERAGE(F20,H20,J20,L20,N20,P20)</f>
        <v>32973.166666666664</v>
      </c>
      <c r="S20" s="17"/>
      <c r="T20" s="17"/>
      <c r="U20" s="17"/>
      <c r="V20" s="17"/>
      <c r="W20" s="19"/>
    </row>
    <row r="21" spans="1:23" ht="14.25" customHeight="1" x14ac:dyDescent="0.2">
      <c r="A21" s="205" t="s">
        <v>82</v>
      </c>
      <c r="B21" s="39">
        <v>2</v>
      </c>
      <c r="C21" s="105" t="s">
        <v>84</v>
      </c>
      <c r="D21" s="181">
        <v>793</v>
      </c>
      <c r="E21" s="82">
        <v>1758.35</v>
      </c>
      <c r="F21" s="86">
        <v>52750.9</v>
      </c>
      <c r="G21" s="80">
        <v>1227</v>
      </c>
      <c r="H21" s="86">
        <v>36810.199999999997</v>
      </c>
      <c r="I21" s="82">
        <v>1165.0999999999999</v>
      </c>
      <c r="J21" s="82">
        <v>34953.5</v>
      </c>
      <c r="K21" s="80">
        <v>1108.3499999999999</v>
      </c>
      <c r="L21" s="86">
        <v>33250.9</v>
      </c>
      <c r="M21" s="82">
        <v>941.02099999999996</v>
      </c>
      <c r="N21" s="82">
        <v>28230.9</v>
      </c>
      <c r="O21" s="80">
        <v>1474.97</v>
      </c>
      <c r="P21" s="86">
        <v>44249.5</v>
      </c>
      <c r="Q21" s="80">
        <f t="shared" ref="Q21:Q22" si="7">SUM(E21,G21,I21,K21,M21,O21)</f>
        <v>7674.7909999999993</v>
      </c>
      <c r="R21" s="86">
        <f t="shared" ref="R21:R22" si="8">AVERAGE(F21,H21,J21,L21,N21,P21)</f>
        <v>38374.316666666666</v>
      </c>
      <c r="S21" s="17"/>
      <c r="T21" s="17"/>
      <c r="U21" s="17"/>
      <c r="V21" s="17"/>
      <c r="W21" s="19"/>
    </row>
    <row r="22" spans="1:23" ht="14.25" customHeight="1" x14ac:dyDescent="0.2">
      <c r="A22" s="205"/>
      <c r="B22" s="39">
        <v>3</v>
      </c>
      <c r="C22" s="105" t="s">
        <v>84</v>
      </c>
      <c r="D22" s="181">
        <v>794</v>
      </c>
      <c r="E22" s="82">
        <v>1149.6600000000001</v>
      </c>
      <c r="F22" s="86">
        <v>34490.199999999997</v>
      </c>
      <c r="G22" s="80">
        <v>463.185</v>
      </c>
      <c r="H22" s="86">
        <v>13895.7</v>
      </c>
      <c r="I22" s="82">
        <v>403.24900000000002</v>
      </c>
      <c r="J22" s="82">
        <v>12097.6</v>
      </c>
      <c r="K22" s="80">
        <v>401.27600000000001</v>
      </c>
      <c r="L22" s="86">
        <v>12038.4</v>
      </c>
      <c r="M22" s="82">
        <v>224.87700000000001</v>
      </c>
      <c r="N22" s="82">
        <v>6746.37</v>
      </c>
      <c r="O22" s="80">
        <v>288.721</v>
      </c>
      <c r="P22" s="86">
        <v>8661.73</v>
      </c>
      <c r="Q22" s="80">
        <f t="shared" si="7"/>
        <v>2930.9679999999998</v>
      </c>
      <c r="R22" s="86">
        <f t="shared" si="8"/>
        <v>14654.999999999998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5" t="s">
        <v>84</v>
      </c>
      <c r="D23" s="181">
        <v>795</v>
      </c>
      <c r="E23" s="82">
        <v>1588.23</v>
      </c>
      <c r="F23" s="86">
        <v>47647.4</v>
      </c>
      <c r="G23" s="80">
        <v>821.09100000000001</v>
      </c>
      <c r="H23" s="86">
        <v>24633</v>
      </c>
      <c r="I23" s="82">
        <v>703.43799999999999</v>
      </c>
      <c r="J23" s="82">
        <v>21103.3</v>
      </c>
      <c r="K23" s="80">
        <v>640.601</v>
      </c>
      <c r="L23" s="86">
        <v>19218.2</v>
      </c>
      <c r="M23" s="82">
        <v>1144.3</v>
      </c>
      <c r="N23" s="82">
        <v>34329.300000000003</v>
      </c>
      <c r="O23" s="80">
        <v>757.44100000000003</v>
      </c>
      <c r="P23" s="86">
        <v>22723.5</v>
      </c>
      <c r="Q23" s="80">
        <f t="shared" ref="Q23" si="9">SUM(E23,G23,I23,K23,M23,O23)</f>
        <v>5655.1009999999997</v>
      </c>
      <c r="R23" s="86">
        <f t="shared" ref="R23" si="10">AVERAGE(F23,H23,J23,L23,N23,P23)</f>
        <v>28275.783333333336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5"/>
      <c r="D24" s="181"/>
      <c r="E24" s="107"/>
      <c r="F24" s="113"/>
      <c r="G24" s="109"/>
      <c r="H24" s="113"/>
      <c r="I24" s="107"/>
      <c r="J24" s="107"/>
      <c r="K24" s="109"/>
      <c r="L24" s="113"/>
      <c r="M24" s="107"/>
      <c r="N24" s="107"/>
      <c r="O24" s="109"/>
      <c r="P24" s="113"/>
      <c r="Q24" s="80"/>
      <c r="R24" s="86"/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5"/>
      <c r="D25" s="181"/>
      <c r="E25" s="107"/>
      <c r="F25" s="113"/>
      <c r="G25" s="109"/>
      <c r="H25" s="113"/>
      <c r="I25" s="107"/>
      <c r="J25" s="107"/>
      <c r="K25" s="109"/>
      <c r="L25" s="113"/>
      <c r="M25" s="107"/>
      <c r="N25" s="107"/>
      <c r="O25" s="109"/>
      <c r="P25" s="113"/>
      <c r="Q25" s="80"/>
      <c r="R25" s="86"/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5"/>
      <c r="D26" s="188"/>
      <c r="E26" s="109"/>
      <c r="F26" s="113"/>
      <c r="G26" s="109"/>
      <c r="H26" s="113"/>
      <c r="I26" s="107"/>
      <c r="J26" s="107"/>
      <c r="K26" s="109"/>
      <c r="L26" s="113"/>
      <c r="M26" s="107"/>
      <c r="N26" s="107"/>
      <c r="O26" s="109"/>
      <c r="P26" s="113"/>
      <c r="Q26" s="80"/>
      <c r="R26" s="86"/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5"/>
      <c r="D27" s="188"/>
      <c r="E27" s="109"/>
      <c r="F27" s="113"/>
      <c r="G27" s="109"/>
      <c r="H27" s="113"/>
      <c r="I27" s="107"/>
      <c r="J27" s="107"/>
      <c r="K27" s="109"/>
      <c r="L27" s="113"/>
      <c r="M27" s="107"/>
      <c r="N27" s="107"/>
      <c r="O27" s="109"/>
      <c r="P27" s="113"/>
      <c r="Q27" s="80"/>
      <c r="R27" s="86"/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2"/>
      <c r="D28" s="111"/>
      <c r="E28" s="109"/>
      <c r="F28" s="113"/>
      <c r="G28" s="109"/>
      <c r="H28" s="113"/>
      <c r="I28" s="107"/>
      <c r="J28" s="107"/>
      <c r="K28" s="109"/>
      <c r="L28" s="113"/>
      <c r="M28" s="107"/>
      <c r="N28" s="107"/>
      <c r="O28" s="109"/>
      <c r="P28" s="113"/>
      <c r="Q28" s="80"/>
      <c r="R28" s="86"/>
      <c r="S28" s="17"/>
      <c r="T28" s="17"/>
      <c r="U28" s="17"/>
      <c r="V28" s="17"/>
      <c r="W28" s="19"/>
    </row>
    <row r="29" spans="1:23" ht="14.25" customHeight="1" x14ac:dyDescent="0.2">
      <c r="A29" s="38"/>
      <c r="B29" s="193">
        <v>10</v>
      </c>
      <c r="C29" s="194"/>
      <c r="D29" s="195"/>
      <c r="E29" s="114"/>
      <c r="F29" s="115"/>
      <c r="G29" s="109"/>
      <c r="H29" s="113"/>
      <c r="I29" s="107"/>
      <c r="J29" s="107"/>
      <c r="K29" s="109"/>
      <c r="L29" s="113"/>
      <c r="M29" s="107"/>
      <c r="N29" s="107"/>
      <c r="O29" s="109"/>
      <c r="P29" s="113"/>
      <c r="Q29" s="89"/>
      <c r="R29" s="90"/>
      <c r="S29" s="17"/>
      <c r="T29" s="17"/>
      <c r="U29" s="17"/>
      <c r="V29" s="17"/>
      <c r="W29" s="19"/>
    </row>
    <row r="30" spans="1:23" ht="14.25" customHeight="1" x14ac:dyDescent="0.2">
      <c r="A30" s="116"/>
      <c r="B30" s="117"/>
      <c r="C30" s="117"/>
      <c r="D30" s="118" t="s">
        <v>46</v>
      </c>
      <c r="E30" s="95">
        <f t="shared" ref="E30:R30" si="11">AVERAGE(E20:E29)</f>
        <v>1560.9850000000001</v>
      </c>
      <c r="F30" s="96">
        <f t="shared" si="11"/>
        <v>46829.999999999993</v>
      </c>
      <c r="G30" s="95">
        <f t="shared" si="11"/>
        <v>861.03749999999991</v>
      </c>
      <c r="H30" s="96">
        <f t="shared" si="11"/>
        <v>25831.35</v>
      </c>
      <c r="I30" s="95">
        <f t="shared" si="11"/>
        <v>808.56749999999988</v>
      </c>
      <c r="J30" s="96">
        <f t="shared" si="11"/>
        <v>24257.300000000003</v>
      </c>
      <c r="K30" s="95">
        <f t="shared" si="11"/>
        <v>765.76524999999992</v>
      </c>
      <c r="L30" s="96">
        <f t="shared" si="11"/>
        <v>22973.199999999997</v>
      </c>
      <c r="M30" s="95">
        <f t="shared" si="11"/>
        <v>823.00025000000005</v>
      </c>
      <c r="N30" s="96">
        <f t="shared" si="11"/>
        <v>24690.2425</v>
      </c>
      <c r="O30" s="95">
        <f t="shared" si="11"/>
        <v>894.5005000000001</v>
      </c>
      <c r="P30" s="96">
        <f t="shared" si="11"/>
        <v>26835.307499999999</v>
      </c>
      <c r="Q30" s="95">
        <f t="shared" si="11"/>
        <v>5713.8559999999998</v>
      </c>
      <c r="R30" s="96">
        <f t="shared" si="11"/>
        <v>28569.566666666669</v>
      </c>
      <c r="S30" s="17"/>
      <c r="T30" s="17"/>
      <c r="U30" s="17"/>
      <c r="V30" s="17"/>
      <c r="W30" s="19"/>
    </row>
    <row r="31" spans="1:23" ht="14.25" customHeight="1" x14ac:dyDescent="0.2">
      <c r="A31" s="119"/>
      <c r="B31" s="120"/>
      <c r="C31" s="120"/>
      <c r="D31" s="121" t="s">
        <v>47</v>
      </c>
      <c r="E31" s="101">
        <f t="shared" ref="E31:R31" si="12">STDEV(E20:E29)/SQRT(COUNT(E20:E29))</f>
        <v>142.52075290403516</v>
      </c>
      <c r="F31" s="102">
        <f t="shared" si="12"/>
        <v>4275.6350976590065</v>
      </c>
      <c r="G31" s="101">
        <f t="shared" si="12"/>
        <v>157.84258211822961</v>
      </c>
      <c r="H31" s="102">
        <f t="shared" si="12"/>
        <v>4735.2895237954235</v>
      </c>
      <c r="I31" s="101">
        <f t="shared" si="12"/>
        <v>164.85870286121795</v>
      </c>
      <c r="J31" s="102">
        <f t="shared" si="12"/>
        <v>4945.8401778666421</v>
      </c>
      <c r="K31" s="101">
        <f t="shared" si="12"/>
        <v>154.78803544491379</v>
      </c>
      <c r="L31" s="102">
        <f t="shared" si="12"/>
        <v>4643.7020050458323</v>
      </c>
      <c r="M31" s="101">
        <f t="shared" si="12"/>
        <v>204.15112098205375</v>
      </c>
      <c r="N31" s="102">
        <f t="shared" si="12"/>
        <v>6124.5914285612762</v>
      </c>
      <c r="O31" s="101">
        <f t="shared" si="12"/>
        <v>249.84375185987057</v>
      </c>
      <c r="P31" s="102">
        <f t="shared" si="12"/>
        <v>7495.3791146316444</v>
      </c>
      <c r="Q31" s="101">
        <f t="shared" si="12"/>
        <v>1015.2516283356382</v>
      </c>
      <c r="R31" s="102">
        <f t="shared" si="12"/>
        <v>5076.3035246341296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57</v>
      </c>
      <c r="B32" s="40">
        <v>1</v>
      </c>
      <c r="C32" s="122" t="s">
        <v>84</v>
      </c>
      <c r="D32" s="182"/>
      <c r="E32" s="123"/>
      <c r="F32" s="126"/>
      <c r="G32" s="123"/>
      <c r="H32" s="174"/>
      <c r="I32" s="126"/>
      <c r="J32" s="126"/>
      <c r="K32" s="123"/>
      <c r="L32" s="174"/>
      <c r="M32" s="126"/>
      <c r="N32" s="126"/>
      <c r="O32" s="123"/>
      <c r="P32" s="174"/>
      <c r="Q32" s="80"/>
      <c r="R32" s="86"/>
      <c r="S32" s="17"/>
      <c r="T32" s="17"/>
      <c r="U32" s="17"/>
      <c r="V32" s="17"/>
      <c r="W32" s="19"/>
    </row>
    <row r="33" spans="1:23" ht="14.25" customHeight="1" x14ac:dyDescent="0.2">
      <c r="A33" s="206"/>
      <c r="B33" s="41">
        <v>2</v>
      </c>
      <c r="C33" s="122" t="s">
        <v>84</v>
      </c>
      <c r="D33" s="183"/>
      <c r="E33" s="127"/>
      <c r="F33" s="126"/>
      <c r="G33" s="127"/>
      <c r="H33" s="131"/>
      <c r="I33" s="126"/>
      <c r="J33" s="126"/>
      <c r="K33" s="127"/>
      <c r="L33" s="131"/>
      <c r="M33" s="126"/>
      <c r="N33" s="126"/>
      <c r="O33" s="127"/>
      <c r="P33" s="131"/>
      <c r="Q33" s="80"/>
      <c r="R33" s="86"/>
      <c r="S33" s="17"/>
      <c r="T33" s="17"/>
      <c r="U33" s="17"/>
      <c r="V33" s="17"/>
      <c r="W33" s="19"/>
    </row>
    <row r="34" spans="1:23" ht="14.25" customHeight="1" x14ac:dyDescent="0.2">
      <c r="A34" s="206"/>
      <c r="B34" s="43">
        <v>3</v>
      </c>
      <c r="C34" s="122" t="s">
        <v>84</v>
      </c>
      <c r="D34" s="183"/>
      <c r="E34" s="126"/>
      <c r="F34" s="126"/>
      <c r="G34" s="127"/>
      <c r="H34" s="131"/>
      <c r="I34" s="126"/>
      <c r="J34" s="126"/>
      <c r="K34" s="127"/>
      <c r="L34" s="131"/>
      <c r="M34" s="126"/>
      <c r="N34" s="126"/>
      <c r="O34" s="127"/>
      <c r="P34" s="131"/>
      <c r="Q34" s="80"/>
      <c r="R34" s="86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2" t="s">
        <v>84</v>
      </c>
      <c r="D35" s="183"/>
      <c r="E35" s="126"/>
      <c r="F35" s="126"/>
      <c r="G35" s="127"/>
      <c r="H35" s="131"/>
      <c r="I35" s="126"/>
      <c r="J35" s="126"/>
      <c r="K35" s="127"/>
      <c r="L35" s="131"/>
      <c r="M35" s="126"/>
      <c r="N35" s="126"/>
      <c r="O35" s="127"/>
      <c r="P35" s="131"/>
      <c r="Q35" s="80"/>
      <c r="R35" s="86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2" t="s">
        <v>84</v>
      </c>
      <c r="D36" s="183"/>
      <c r="E36" s="126"/>
      <c r="F36" s="126"/>
      <c r="G36" s="127"/>
      <c r="H36" s="131"/>
      <c r="I36" s="126"/>
      <c r="J36" s="126"/>
      <c r="K36" s="127"/>
      <c r="L36" s="131"/>
      <c r="M36" s="126"/>
      <c r="N36" s="126"/>
      <c r="O36" s="127"/>
      <c r="P36" s="131"/>
      <c r="Q36" s="80"/>
      <c r="R36" s="86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2" t="s">
        <v>84</v>
      </c>
      <c r="D37" s="183"/>
      <c r="E37" s="126"/>
      <c r="F37" s="126"/>
      <c r="G37" s="127"/>
      <c r="H37" s="131"/>
      <c r="I37" s="126"/>
      <c r="J37" s="126"/>
      <c r="K37" s="127"/>
      <c r="L37" s="131"/>
      <c r="M37" s="126"/>
      <c r="N37" s="126"/>
      <c r="O37" s="127"/>
      <c r="P37" s="131"/>
      <c r="Q37" s="80"/>
      <c r="R37" s="86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2" t="s">
        <v>84</v>
      </c>
      <c r="D38" s="184"/>
      <c r="E38" s="126"/>
      <c r="F38" s="126"/>
      <c r="G38" s="127"/>
      <c r="H38" s="131"/>
      <c r="I38" s="126"/>
      <c r="J38" s="126"/>
      <c r="K38" s="127"/>
      <c r="L38" s="131"/>
      <c r="M38" s="126"/>
      <c r="N38" s="126"/>
      <c r="O38" s="127"/>
      <c r="P38" s="131"/>
      <c r="Q38" s="80"/>
      <c r="R38" s="86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2" t="s">
        <v>84</v>
      </c>
      <c r="D39" s="184"/>
      <c r="E39" s="126"/>
      <c r="F39" s="126"/>
      <c r="G39" s="127"/>
      <c r="H39" s="131"/>
      <c r="I39" s="126"/>
      <c r="J39" s="126"/>
      <c r="K39" s="127"/>
      <c r="L39" s="131"/>
      <c r="M39" s="126"/>
      <c r="N39" s="126"/>
      <c r="O39" s="127"/>
      <c r="P39" s="131"/>
      <c r="Q39" s="80"/>
      <c r="R39" s="86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0"/>
      <c r="D40" s="129"/>
      <c r="E40" s="126"/>
      <c r="F40" s="126"/>
      <c r="G40" s="127"/>
      <c r="H40" s="131"/>
      <c r="I40" s="126"/>
      <c r="J40" s="126"/>
      <c r="K40" s="127"/>
      <c r="L40" s="131"/>
      <c r="M40" s="126"/>
      <c r="N40" s="126"/>
      <c r="O40" s="127"/>
      <c r="P40" s="131"/>
      <c r="Q40" s="127"/>
      <c r="R40" s="131"/>
      <c r="S40" s="17"/>
      <c r="T40" s="17"/>
      <c r="U40" s="17"/>
      <c r="V40" s="17"/>
      <c r="W40" s="19"/>
    </row>
    <row r="41" spans="1:23" ht="14.25" customHeight="1" x14ac:dyDescent="0.2">
      <c r="A41" s="42"/>
      <c r="B41" s="196">
        <v>10</v>
      </c>
      <c r="C41" s="197"/>
      <c r="D41" s="198"/>
      <c r="E41" s="126"/>
      <c r="F41" s="126"/>
      <c r="G41" s="132"/>
      <c r="H41" s="134"/>
      <c r="I41" s="126"/>
      <c r="J41" s="126"/>
      <c r="K41" s="132"/>
      <c r="L41" s="134"/>
      <c r="M41" s="126"/>
      <c r="N41" s="126"/>
      <c r="O41" s="132"/>
      <c r="P41" s="134"/>
      <c r="Q41" s="132"/>
      <c r="R41" s="134"/>
      <c r="S41" s="17"/>
      <c r="T41" s="17"/>
      <c r="U41" s="17"/>
      <c r="V41" s="17"/>
      <c r="W41" s="19"/>
    </row>
    <row r="42" spans="1:23" ht="14.25" customHeight="1" x14ac:dyDescent="0.2">
      <c r="A42" s="135"/>
      <c r="B42" s="136"/>
      <c r="C42" s="136"/>
      <c r="D42" s="137" t="s">
        <v>46</v>
      </c>
      <c r="E42" s="95" t="e">
        <f t="shared" ref="E42:R42" si="13">AVERAGE(E32:E41)</f>
        <v>#DIV/0!</v>
      </c>
      <c r="F42" s="96" t="e">
        <f t="shared" si="13"/>
        <v>#DIV/0!</v>
      </c>
      <c r="G42" s="95" t="e">
        <f t="shared" si="13"/>
        <v>#DIV/0!</v>
      </c>
      <c r="H42" s="96" t="e">
        <f t="shared" si="13"/>
        <v>#DIV/0!</v>
      </c>
      <c r="I42" s="95" t="e">
        <f t="shared" si="13"/>
        <v>#DIV/0!</v>
      </c>
      <c r="J42" s="96" t="e">
        <f t="shared" si="13"/>
        <v>#DIV/0!</v>
      </c>
      <c r="K42" s="95" t="e">
        <f t="shared" si="13"/>
        <v>#DIV/0!</v>
      </c>
      <c r="L42" s="96" t="e">
        <f t="shared" si="13"/>
        <v>#DIV/0!</v>
      </c>
      <c r="M42" s="95" t="e">
        <f t="shared" si="13"/>
        <v>#DIV/0!</v>
      </c>
      <c r="N42" s="96" t="e">
        <f t="shared" si="13"/>
        <v>#DIV/0!</v>
      </c>
      <c r="O42" s="95" t="e">
        <f t="shared" si="13"/>
        <v>#DIV/0!</v>
      </c>
      <c r="P42" s="96" t="e">
        <f t="shared" si="13"/>
        <v>#DIV/0!</v>
      </c>
      <c r="Q42" s="95" t="e">
        <f t="shared" si="13"/>
        <v>#DIV/0!</v>
      </c>
      <c r="R42" s="96" t="e">
        <f t="shared" si="13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38"/>
      <c r="B43" s="139"/>
      <c r="C43" s="139"/>
      <c r="D43" s="140" t="s">
        <v>47</v>
      </c>
      <c r="E43" s="101" t="e">
        <f t="shared" ref="E43:R43" si="14">STDEV(E32:E41)/SQRT(COUNT(E32:E41))</f>
        <v>#DIV/0!</v>
      </c>
      <c r="F43" s="102" t="e">
        <f t="shared" si="14"/>
        <v>#DIV/0!</v>
      </c>
      <c r="G43" s="101" t="e">
        <f t="shared" si="14"/>
        <v>#DIV/0!</v>
      </c>
      <c r="H43" s="102" t="e">
        <f t="shared" si="14"/>
        <v>#DIV/0!</v>
      </c>
      <c r="I43" s="101" t="e">
        <f t="shared" si="14"/>
        <v>#DIV/0!</v>
      </c>
      <c r="J43" s="102" t="e">
        <f t="shared" si="14"/>
        <v>#DIV/0!</v>
      </c>
      <c r="K43" s="101" t="e">
        <f t="shared" si="14"/>
        <v>#DIV/0!</v>
      </c>
      <c r="L43" s="102" t="e">
        <f t="shared" si="14"/>
        <v>#DIV/0!</v>
      </c>
      <c r="M43" s="101" t="e">
        <f t="shared" si="14"/>
        <v>#DIV/0!</v>
      </c>
      <c r="N43" s="102" t="e">
        <f t="shared" si="14"/>
        <v>#DIV/0!</v>
      </c>
      <c r="O43" s="101" t="e">
        <f t="shared" si="14"/>
        <v>#DIV/0!</v>
      </c>
      <c r="P43" s="102" t="e">
        <f t="shared" si="14"/>
        <v>#DIV/0!</v>
      </c>
      <c r="Q43" s="101" t="e">
        <f t="shared" si="14"/>
        <v>#DIV/0!</v>
      </c>
      <c r="R43" s="102" t="e">
        <f t="shared" si="14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63</v>
      </c>
      <c r="B44" s="53">
        <v>1</v>
      </c>
      <c r="C44" s="141" t="s">
        <v>84</v>
      </c>
      <c r="D44" s="185"/>
      <c r="E44" s="123"/>
      <c r="F44" s="126"/>
      <c r="G44" s="123"/>
      <c r="H44" s="174"/>
      <c r="I44" s="126"/>
      <c r="J44" s="126"/>
      <c r="K44" s="123"/>
      <c r="L44" s="174"/>
      <c r="M44" s="126"/>
      <c r="N44" s="126"/>
      <c r="O44" s="123"/>
      <c r="P44" s="174"/>
      <c r="Q44" s="80"/>
      <c r="R44" s="86"/>
      <c r="S44" s="17"/>
      <c r="T44" s="17"/>
      <c r="U44" s="17"/>
      <c r="V44" s="17"/>
      <c r="W44" s="19"/>
    </row>
    <row r="45" spans="1:23" ht="14.25" customHeight="1" x14ac:dyDescent="0.2">
      <c r="A45" s="207"/>
      <c r="B45" s="54">
        <v>2</v>
      </c>
      <c r="C45" s="141" t="s">
        <v>84</v>
      </c>
      <c r="D45" s="185"/>
      <c r="E45" s="127"/>
      <c r="F45" s="126"/>
      <c r="G45" s="127"/>
      <c r="H45" s="131"/>
      <c r="I45" s="126"/>
      <c r="J45" s="126"/>
      <c r="K45" s="127"/>
      <c r="L45" s="131"/>
      <c r="M45" s="126"/>
      <c r="N45" s="126"/>
      <c r="O45" s="127"/>
      <c r="P45" s="131"/>
      <c r="Q45" s="80"/>
      <c r="R45" s="86"/>
      <c r="S45" s="17"/>
      <c r="T45" s="17"/>
      <c r="U45" s="17"/>
      <c r="V45" s="17"/>
      <c r="W45" s="19"/>
    </row>
    <row r="46" spans="1:23" ht="14.25" customHeight="1" x14ac:dyDescent="0.2">
      <c r="A46" s="207"/>
      <c r="B46" s="56">
        <v>3</v>
      </c>
      <c r="C46" s="141" t="s">
        <v>84</v>
      </c>
      <c r="D46" s="186"/>
      <c r="E46" s="126"/>
      <c r="F46" s="126"/>
      <c r="G46" s="127"/>
      <c r="H46" s="131"/>
      <c r="I46" s="126"/>
      <c r="J46" s="126"/>
      <c r="K46" s="127"/>
      <c r="L46" s="131"/>
      <c r="M46" s="126"/>
      <c r="N46" s="126"/>
      <c r="O46" s="127"/>
      <c r="P46" s="131"/>
      <c r="Q46" s="80"/>
      <c r="R46" s="86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1" t="s">
        <v>84</v>
      </c>
      <c r="D47" s="186"/>
      <c r="E47" s="126"/>
      <c r="F47" s="126"/>
      <c r="G47" s="127"/>
      <c r="H47" s="131"/>
      <c r="I47" s="126"/>
      <c r="J47" s="126"/>
      <c r="K47" s="127"/>
      <c r="L47" s="131"/>
      <c r="M47" s="126"/>
      <c r="N47" s="126"/>
      <c r="O47" s="127"/>
      <c r="P47" s="131"/>
      <c r="Q47" s="80"/>
      <c r="R47" s="86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1" t="s">
        <v>84</v>
      </c>
      <c r="D48" s="186"/>
      <c r="E48" s="126"/>
      <c r="F48" s="126"/>
      <c r="G48" s="127"/>
      <c r="H48" s="131"/>
      <c r="I48" s="126"/>
      <c r="J48" s="126"/>
      <c r="K48" s="127"/>
      <c r="L48" s="131"/>
      <c r="M48" s="126"/>
      <c r="N48" s="126"/>
      <c r="O48" s="127"/>
      <c r="P48" s="131"/>
      <c r="Q48" s="80"/>
      <c r="R48" s="86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1" t="s">
        <v>84</v>
      </c>
      <c r="D49" s="186"/>
      <c r="E49" s="126"/>
      <c r="F49" s="126"/>
      <c r="G49" s="127"/>
      <c r="H49" s="131"/>
      <c r="I49" s="126"/>
      <c r="J49" s="126"/>
      <c r="K49" s="127"/>
      <c r="L49" s="131"/>
      <c r="M49" s="126"/>
      <c r="N49" s="126"/>
      <c r="O49" s="127"/>
      <c r="P49" s="131"/>
      <c r="Q49" s="80"/>
      <c r="R49" s="86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1" t="s">
        <v>84</v>
      </c>
      <c r="D50" s="187"/>
      <c r="E50" s="126"/>
      <c r="F50" s="126"/>
      <c r="G50" s="127"/>
      <c r="H50" s="131"/>
      <c r="I50" s="126"/>
      <c r="J50" s="126"/>
      <c r="K50" s="127"/>
      <c r="L50" s="131"/>
      <c r="M50" s="126"/>
      <c r="N50" s="126"/>
      <c r="O50" s="127"/>
      <c r="P50" s="131"/>
      <c r="Q50" s="80"/>
      <c r="R50" s="86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1" t="s">
        <v>84</v>
      </c>
      <c r="D51" s="187"/>
      <c r="E51" s="126"/>
      <c r="F51" s="126"/>
      <c r="G51" s="127"/>
      <c r="H51" s="131"/>
      <c r="I51" s="126"/>
      <c r="J51" s="126"/>
      <c r="K51" s="127"/>
      <c r="L51" s="131"/>
      <c r="M51" s="126"/>
      <c r="N51" s="126"/>
      <c r="O51" s="127"/>
      <c r="P51" s="131"/>
      <c r="Q51" s="80"/>
      <c r="R51" s="86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3"/>
      <c r="D52" s="142"/>
      <c r="E52" s="126"/>
      <c r="F52" s="126"/>
      <c r="G52" s="127"/>
      <c r="H52" s="131"/>
      <c r="I52" s="126"/>
      <c r="J52" s="126"/>
      <c r="K52" s="127"/>
      <c r="L52" s="131"/>
      <c r="M52" s="126"/>
      <c r="N52" s="126"/>
      <c r="O52" s="127"/>
      <c r="P52" s="131"/>
      <c r="Q52" s="127"/>
      <c r="R52" s="131"/>
      <c r="S52" s="17"/>
      <c r="T52" s="17"/>
      <c r="U52" s="17"/>
      <c r="V52" s="17"/>
      <c r="W52" s="19"/>
    </row>
    <row r="53" spans="1:23" ht="14.25" customHeight="1" x14ac:dyDescent="0.2">
      <c r="A53" s="55"/>
      <c r="B53" s="199">
        <v>10</v>
      </c>
      <c r="C53" s="200"/>
      <c r="D53" s="201"/>
      <c r="E53" s="126"/>
      <c r="F53" s="126"/>
      <c r="G53" s="132"/>
      <c r="H53" s="134"/>
      <c r="I53" s="126"/>
      <c r="J53" s="126"/>
      <c r="K53" s="132"/>
      <c r="L53" s="134"/>
      <c r="M53" s="126"/>
      <c r="N53" s="126"/>
      <c r="O53" s="132"/>
      <c r="P53" s="134"/>
      <c r="Q53" s="132"/>
      <c r="R53" s="134"/>
      <c r="S53" s="17"/>
      <c r="T53" s="17"/>
      <c r="U53" s="17"/>
      <c r="V53" s="17"/>
      <c r="W53" s="19"/>
    </row>
    <row r="54" spans="1:23" ht="14.25" customHeight="1" x14ac:dyDescent="0.2">
      <c r="A54" s="144"/>
      <c r="B54" s="145"/>
      <c r="C54" s="145"/>
      <c r="D54" s="146" t="s">
        <v>46</v>
      </c>
      <c r="E54" s="95" t="e">
        <f t="shared" ref="E54:R54" si="15">AVERAGE(E44:E53)</f>
        <v>#DIV/0!</v>
      </c>
      <c r="F54" s="96" t="e">
        <f t="shared" si="15"/>
        <v>#DIV/0!</v>
      </c>
      <c r="G54" s="95" t="e">
        <f t="shared" si="15"/>
        <v>#DIV/0!</v>
      </c>
      <c r="H54" s="96" t="e">
        <f t="shared" si="15"/>
        <v>#DIV/0!</v>
      </c>
      <c r="I54" s="95" t="e">
        <f t="shared" si="15"/>
        <v>#DIV/0!</v>
      </c>
      <c r="J54" s="96" t="e">
        <f t="shared" si="15"/>
        <v>#DIV/0!</v>
      </c>
      <c r="K54" s="95" t="e">
        <f t="shared" si="15"/>
        <v>#DIV/0!</v>
      </c>
      <c r="L54" s="96" t="e">
        <f t="shared" si="15"/>
        <v>#DIV/0!</v>
      </c>
      <c r="M54" s="95" t="e">
        <f t="shared" si="15"/>
        <v>#DIV/0!</v>
      </c>
      <c r="N54" s="96" t="e">
        <f t="shared" si="15"/>
        <v>#DIV/0!</v>
      </c>
      <c r="O54" s="95" t="e">
        <f t="shared" si="15"/>
        <v>#DIV/0!</v>
      </c>
      <c r="P54" s="96" t="e">
        <f t="shared" si="15"/>
        <v>#DIV/0!</v>
      </c>
      <c r="Q54" s="95" t="e">
        <f t="shared" si="15"/>
        <v>#DIV/0!</v>
      </c>
      <c r="R54" s="96" t="e">
        <f t="shared" si="15"/>
        <v>#DIV/0!</v>
      </c>
      <c r="S54" s="17"/>
      <c r="T54" s="17"/>
      <c r="U54" s="17"/>
      <c r="V54" s="17"/>
      <c r="W54" s="19"/>
    </row>
    <row r="55" spans="1:23" ht="14.25" customHeight="1" x14ac:dyDescent="0.2">
      <c r="A55" s="147"/>
      <c r="B55" s="148"/>
      <c r="C55" s="148"/>
      <c r="D55" s="149" t="s">
        <v>47</v>
      </c>
      <c r="E55" s="101" t="e">
        <f t="shared" ref="E55:R55" si="16">STDEV(E44:E53)/SQRT(COUNT(E44:E53))</f>
        <v>#DIV/0!</v>
      </c>
      <c r="F55" s="102" t="e">
        <f t="shared" si="16"/>
        <v>#DIV/0!</v>
      </c>
      <c r="G55" s="101" t="e">
        <f t="shared" si="16"/>
        <v>#DIV/0!</v>
      </c>
      <c r="H55" s="102" t="e">
        <f t="shared" si="16"/>
        <v>#DIV/0!</v>
      </c>
      <c r="I55" s="101" t="e">
        <f t="shared" si="16"/>
        <v>#DIV/0!</v>
      </c>
      <c r="J55" s="102" t="e">
        <f t="shared" si="16"/>
        <v>#DIV/0!</v>
      </c>
      <c r="K55" s="101" t="e">
        <f t="shared" si="16"/>
        <v>#DIV/0!</v>
      </c>
      <c r="L55" s="102" t="e">
        <f t="shared" si="16"/>
        <v>#DIV/0!</v>
      </c>
      <c r="M55" s="101" t="e">
        <f t="shared" si="16"/>
        <v>#DIV/0!</v>
      </c>
      <c r="N55" s="102" t="e">
        <f t="shared" si="16"/>
        <v>#DIV/0!</v>
      </c>
      <c r="O55" s="101" t="e">
        <f t="shared" si="16"/>
        <v>#DIV/0!</v>
      </c>
      <c r="P55" s="102" t="e">
        <f t="shared" si="16"/>
        <v>#DIV/0!</v>
      </c>
      <c r="Q55" s="101" t="e">
        <f t="shared" si="16"/>
        <v>#DIV/0!</v>
      </c>
      <c r="R55" s="102" t="e">
        <f t="shared" si="16"/>
        <v>#DIV/0!</v>
      </c>
      <c r="S55" s="17"/>
      <c r="T55" s="17"/>
      <c r="U55" s="17"/>
      <c r="V55" s="17"/>
      <c r="W55" s="19"/>
    </row>
    <row r="56" spans="1:23" ht="14.25" customHeight="1" x14ac:dyDescent="0.2">
      <c r="A56" s="150"/>
      <c r="B56" s="150"/>
      <c r="C56" s="150" t="s">
        <v>49</v>
      </c>
      <c r="D56" s="150" t="s">
        <v>50</v>
      </c>
      <c r="E56" s="151">
        <f>TTEST(E8:E17,E20:E29,2,2)</f>
        <v>0.32435366602962562</v>
      </c>
      <c r="F56" s="151">
        <f t="shared" ref="F56:R56" si="17">TTEST(F8:F17,F20:F29,2,2)</f>
        <v>0.32435385336657457</v>
      </c>
      <c r="G56" s="151">
        <f t="shared" ref="G56:P56" si="18">TTEST(G8:G17,G20:G29,2,2)</f>
        <v>0.81380762361258463</v>
      </c>
      <c r="H56" s="151">
        <f t="shared" si="18"/>
        <v>0.81381410994878456</v>
      </c>
      <c r="I56" s="151">
        <f t="shared" si="18"/>
        <v>0.84504211039217214</v>
      </c>
      <c r="J56" s="151">
        <f t="shared" si="18"/>
        <v>0.8450375801198976</v>
      </c>
      <c r="K56" s="151">
        <f t="shared" si="18"/>
        <v>0.53892542533263099</v>
      </c>
      <c r="L56" s="151">
        <f t="shared" si="18"/>
        <v>0.53892791939901241</v>
      </c>
      <c r="M56" s="151">
        <f t="shared" si="18"/>
        <v>0.86913396931911135</v>
      </c>
      <c r="N56" s="151">
        <f t="shared" si="18"/>
        <v>0.86912988659721357</v>
      </c>
      <c r="O56" s="151">
        <f t="shared" si="18"/>
        <v>0.64178621847116901</v>
      </c>
      <c r="P56" s="151">
        <f t="shared" si="18"/>
        <v>0.64178251316486579</v>
      </c>
      <c r="Q56" s="151">
        <f t="shared" si="17"/>
        <v>0.76389737163074312</v>
      </c>
      <c r="R56" s="151">
        <f t="shared" si="17"/>
        <v>0.7638970165716501</v>
      </c>
      <c r="S56" s="17"/>
      <c r="T56" s="17"/>
      <c r="U56" s="17"/>
      <c r="V56" s="17"/>
      <c r="W56" s="19"/>
    </row>
    <row r="57" spans="1:23" ht="14.25" customHeight="1" x14ac:dyDescent="0.2">
      <c r="A57" s="150"/>
      <c r="B57" s="150"/>
      <c r="C57" s="150"/>
      <c r="D57" s="150" t="s">
        <v>58</v>
      </c>
      <c r="E57" s="151" t="e">
        <f>TTEST(E8:E17,E32:E41,2,2)</f>
        <v>#DIV/0!</v>
      </c>
      <c r="F57" s="151" t="e">
        <f t="shared" ref="F57:R57" si="19">TTEST(F8:F17,F32:F41,2,2)</f>
        <v>#DIV/0!</v>
      </c>
      <c r="G57" s="151" t="e">
        <f t="shared" ref="G57:P57" si="20">TTEST(G8:G17,G32:G41,2,2)</f>
        <v>#DIV/0!</v>
      </c>
      <c r="H57" s="151" t="e">
        <f t="shared" si="20"/>
        <v>#DIV/0!</v>
      </c>
      <c r="I57" s="151" t="e">
        <f t="shared" si="20"/>
        <v>#DIV/0!</v>
      </c>
      <c r="J57" s="151" t="e">
        <f t="shared" si="20"/>
        <v>#DIV/0!</v>
      </c>
      <c r="K57" s="151" t="e">
        <f t="shared" si="20"/>
        <v>#DIV/0!</v>
      </c>
      <c r="L57" s="151" t="e">
        <f t="shared" si="20"/>
        <v>#DIV/0!</v>
      </c>
      <c r="M57" s="151" t="e">
        <f t="shared" si="20"/>
        <v>#DIV/0!</v>
      </c>
      <c r="N57" s="151" t="e">
        <f t="shared" si="20"/>
        <v>#DIV/0!</v>
      </c>
      <c r="O57" s="151" t="e">
        <f t="shared" si="20"/>
        <v>#DIV/0!</v>
      </c>
      <c r="P57" s="151" t="e">
        <f t="shared" si="20"/>
        <v>#DIV/0!</v>
      </c>
      <c r="Q57" s="151" t="e">
        <f t="shared" si="19"/>
        <v>#DIV/0!</v>
      </c>
      <c r="R57" s="151" t="e">
        <f t="shared" si="19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50"/>
      <c r="B58" s="150"/>
      <c r="C58" s="150"/>
      <c r="D58" s="150" t="s">
        <v>64</v>
      </c>
      <c r="E58" s="151" t="e">
        <f>TTEST(E8:E17,E44:E53,2,2)</f>
        <v>#DIV/0!</v>
      </c>
      <c r="F58" s="151" t="e">
        <f t="shared" ref="F58:R58" si="21">TTEST(F8:F17,F44:F53,2,2)</f>
        <v>#DIV/0!</v>
      </c>
      <c r="G58" s="151" t="e">
        <f t="shared" ref="G58:P58" si="22">TTEST(G8:G17,G44:G53,2,2)</f>
        <v>#DIV/0!</v>
      </c>
      <c r="H58" s="151" t="e">
        <f t="shared" si="22"/>
        <v>#DIV/0!</v>
      </c>
      <c r="I58" s="151" t="e">
        <f t="shared" si="22"/>
        <v>#DIV/0!</v>
      </c>
      <c r="J58" s="151" t="e">
        <f t="shared" si="22"/>
        <v>#DIV/0!</v>
      </c>
      <c r="K58" s="151" t="e">
        <f t="shared" si="22"/>
        <v>#DIV/0!</v>
      </c>
      <c r="L58" s="151" t="e">
        <f t="shared" si="22"/>
        <v>#DIV/0!</v>
      </c>
      <c r="M58" s="151" t="e">
        <f t="shared" si="22"/>
        <v>#DIV/0!</v>
      </c>
      <c r="N58" s="151" t="e">
        <f t="shared" si="22"/>
        <v>#DIV/0!</v>
      </c>
      <c r="O58" s="151" t="e">
        <f t="shared" si="22"/>
        <v>#DIV/0!</v>
      </c>
      <c r="P58" s="151" t="e">
        <f t="shared" si="22"/>
        <v>#DIV/0!</v>
      </c>
      <c r="Q58" s="151" t="e">
        <f t="shared" si="21"/>
        <v>#DIV/0!</v>
      </c>
      <c r="R58" s="151" t="e">
        <f t="shared" si="21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50"/>
      <c r="B59" s="150"/>
      <c r="C59" s="150"/>
      <c r="D59" s="150" t="s">
        <v>59</v>
      </c>
      <c r="E59" s="151" t="e">
        <f>TTEST(E20:E29,E32:E41,2,2)</f>
        <v>#DIV/0!</v>
      </c>
      <c r="F59" s="151" t="e">
        <f t="shared" ref="F59:R59" si="23">TTEST(F20:F29,F32:F41,2,2)</f>
        <v>#DIV/0!</v>
      </c>
      <c r="G59" s="151" t="e">
        <f t="shared" si="23"/>
        <v>#DIV/0!</v>
      </c>
      <c r="H59" s="151" t="e">
        <f t="shared" si="23"/>
        <v>#DIV/0!</v>
      </c>
      <c r="I59" s="151" t="e">
        <f t="shared" si="23"/>
        <v>#DIV/0!</v>
      </c>
      <c r="J59" s="151" t="e">
        <f t="shared" si="23"/>
        <v>#DIV/0!</v>
      </c>
      <c r="K59" s="151" t="e">
        <f t="shared" si="23"/>
        <v>#DIV/0!</v>
      </c>
      <c r="L59" s="151" t="e">
        <f t="shared" si="23"/>
        <v>#DIV/0!</v>
      </c>
      <c r="M59" s="151" t="e">
        <f t="shared" si="23"/>
        <v>#DIV/0!</v>
      </c>
      <c r="N59" s="151" t="e">
        <f t="shared" si="23"/>
        <v>#DIV/0!</v>
      </c>
      <c r="O59" s="151" t="e">
        <f t="shared" si="23"/>
        <v>#DIV/0!</v>
      </c>
      <c r="P59" s="151" t="e">
        <f t="shared" si="23"/>
        <v>#DIV/0!</v>
      </c>
      <c r="Q59" s="151" t="e">
        <f t="shared" si="23"/>
        <v>#DIV/0!</v>
      </c>
      <c r="R59" s="151" t="e">
        <f t="shared" si="23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50"/>
      <c r="B60" s="150"/>
      <c r="C60" s="150"/>
      <c r="D60" s="150" t="s">
        <v>65</v>
      </c>
      <c r="E60" s="151" t="e">
        <f>TTEST(E20:E29,E44:E53,2,2)</f>
        <v>#DIV/0!</v>
      </c>
      <c r="F60" s="151" t="e">
        <f t="shared" ref="F60:R60" si="24">TTEST(F20:F29,F44:F53,2,2)</f>
        <v>#DIV/0!</v>
      </c>
      <c r="G60" s="151" t="e">
        <f t="shared" si="24"/>
        <v>#DIV/0!</v>
      </c>
      <c r="H60" s="151" t="e">
        <f t="shared" si="24"/>
        <v>#DIV/0!</v>
      </c>
      <c r="I60" s="151" t="e">
        <f t="shared" si="24"/>
        <v>#DIV/0!</v>
      </c>
      <c r="J60" s="151" t="e">
        <f t="shared" si="24"/>
        <v>#DIV/0!</v>
      </c>
      <c r="K60" s="151" t="e">
        <f t="shared" si="24"/>
        <v>#DIV/0!</v>
      </c>
      <c r="L60" s="151" t="e">
        <f t="shared" si="24"/>
        <v>#DIV/0!</v>
      </c>
      <c r="M60" s="151" t="e">
        <f t="shared" si="24"/>
        <v>#DIV/0!</v>
      </c>
      <c r="N60" s="151" t="e">
        <f t="shared" si="24"/>
        <v>#DIV/0!</v>
      </c>
      <c r="O60" s="151" t="e">
        <f t="shared" si="24"/>
        <v>#DIV/0!</v>
      </c>
      <c r="P60" s="151" t="e">
        <f t="shared" si="24"/>
        <v>#DIV/0!</v>
      </c>
      <c r="Q60" s="151" t="e">
        <f t="shared" si="24"/>
        <v>#DIV/0!</v>
      </c>
      <c r="R60" s="151" t="e">
        <f t="shared" si="24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50"/>
      <c r="B61" s="150"/>
      <c r="C61" s="150"/>
      <c r="D61" s="150" t="s">
        <v>66</v>
      </c>
      <c r="E61" s="151" t="e">
        <f>TTEST(E32:E41,E44:E53,2,2)</f>
        <v>#DIV/0!</v>
      </c>
      <c r="F61" s="151" t="e">
        <f t="shared" ref="F61:R61" si="25">TTEST(F32:F41,F44:F53,2,2)</f>
        <v>#DIV/0!</v>
      </c>
      <c r="G61" s="151" t="e">
        <f t="shared" si="25"/>
        <v>#DIV/0!</v>
      </c>
      <c r="H61" s="151" t="e">
        <f t="shared" si="25"/>
        <v>#DIV/0!</v>
      </c>
      <c r="I61" s="151" t="e">
        <f t="shared" si="25"/>
        <v>#DIV/0!</v>
      </c>
      <c r="J61" s="151" t="e">
        <f t="shared" si="25"/>
        <v>#DIV/0!</v>
      </c>
      <c r="K61" s="151" t="e">
        <f t="shared" si="25"/>
        <v>#DIV/0!</v>
      </c>
      <c r="L61" s="151" t="e">
        <f t="shared" si="25"/>
        <v>#DIV/0!</v>
      </c>
      <c r="M61" s="151" t="e">
        <f t="shared" si="25"/>
        <v>#DIV/0!</v>
      </c>
      <c r="N61" s="151" t="e">
        <f t="shared" si="25"/>
        <v>#DIV/0!</v>
      </c>
      <c r="O61" s="151" t="e">
        <f t="shared" si="25"/>
        <v>#DIV/0!</v>
      </c>
      <c r="P61" s="151" t="e">
        <f t="shared" si="25"/>
        <v>#DIV/0!</v>
      </c>
      <c r="Q61" s="151" t="e">
        <f t="shared" si="25"/>
        <v>#DIV/0!</v>
      </c>
      <c r="R61" s="151" t="e">
        <f t="shared" si="25"/>
        <v>#DIV/0!</v>
      </c>
      <c r="S61" s="17"/>
      <c r="T61" s="17"/>
      <c r="U61" s="17"/>
      <c r="V61" s="17"/>
      <c r="W61" s="19"/>
    </row>
    <row r="62" spans="1:23" ht="14.25" customHeight="1" x14ac:dyDescent="0.2">
      <c r="A62" s="29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</row>
  </sheetData>
  <sheetProtection algorithmName="SHA-512" hashValue="6YgJuIV68VHmZY6QZebKgFfJfe4Z4/HkKXanoSElOBRxHQyjmr0oEacZ7BtOfQ+fzpKSM1L5IUN7sre0E6SopA==" saltValue="5f8xrUG8GBYlhn9FCFNDvw==" spinCount="100000" sheet="1" objects="1" scenarios="1"/>
  <mergeCells count="11">
    <mergeCell ref="Q5:R5"/>
    <mergeCell ref="O5:P5"/>
    <mergeCell ref="M5:N5"/>
    <mergeCell ref="K5:L5"/>
    <mergeCell ref="I5:J5"/>
    <mergeCell ref="A9:A10"/>
    <mergeCell ref="A21:A22"/>
    <mergeCell ref="A33:A34"/>
    <mergeCell ref="A45:A46"/>
    <mergeCell ref="G5:H5"/>
    <mergeCell ref="E5:F5"/>
  </mergeCells>
  <phoneticPr fontId="16" type="noConversion"/>
  <conditionalFormatting sqref="E56:R61">
    <cfRule type="cellIs" dxfId="0" priority="1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7"/>
  <sheetViews>
    <sheetView workbookViewId="0">
      <selection activeCell="X1" sqref="X1"/>
    </sheetView>
  </sheetViews>
  <sheetFormatPr defaultColWidth="9" defaultRowHeight="14.25" x14ac:dyDescent="0.2"/>
  <cols>
    <col min="1" max="16384" width="9" style="1"/>
  </cols>
  <sheetData>
    <row r="1" ht="20.100000000000001" customHeight="1" x14ac:dyDescent="0.2"/>
    <row r="17" ht="20.25" customHeight="1" x14ac:dyDescent="0.2"/>
  </sheetData>
  <sheetProtection algorithmName="SHA-512" hashValue="VhoikZnZ4TgmBcAD2fX4wM36YgFbm/8Fz/cLGiWswqEYguiLUizdwx/A5jTtOKSSVKYsRWJX9qXwEmNquftLVg==" saltValue="m3iRQbV4apQPDcspAfwwJw==" spinCount="100000" sheet="1" objects="1" scenario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Center Zone</vt:lpstr>
      <vt:lpstr>Intermediate Zone</vt:lpstr>
      <vt:lpstr>Outer Zone</vt:lpstr>
      <vt:lpstr>Movement</vt:lpstr>
      <vt:lpstr>Distance &amp; Velocity</vt:lpstr>
      <vt:lpstr>Procedures &amp; References</vt:lpstr>
    </vt:vector>
  </TitlesOfParts>
  <Company>University of Michigan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Qi, Nathan</dc:creator>
  <cp:lastModifiedBy>Wu, Zhe</cp:lastModifiedBy>
  <cp:lastPrinted>2022-08-30T14:59:19Z</cp:lastPrinted>
  <dcterms:created xsi:type="dcterms:W3CDTF">2020-09-03T16:12:34Z</dcterms:created>
  <dcterms:modified xsi:type="dcterms:W3CDTF">2025-11-10T15:56:36Z</dcterms:modified>
</cp:coreProperties>
</file>