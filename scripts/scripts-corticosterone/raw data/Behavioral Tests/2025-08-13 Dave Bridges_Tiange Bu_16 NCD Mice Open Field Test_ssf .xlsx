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mhealth-my.sharepoint.com/personal/zhewu_med_umich_edu/Documents/Data/Behavior Study/Dave Bridges_Tiange/"/>
    </mc:Choice>
  </mc:AlternateContent>
  <xr:revisionPtr revIDLastSave="1411" documentId="8_{35DD65C8-A30D-4F49-A4F8-7F9084DB6BF9}" xr6:coauthVersionLast="47" xr6:coauthVersionMax="47" xr10:uidLastSave="{1D7B5AD6-89CE-405E-AB61-040B9DCBF4DE}"/>
  <bookViews>
    <workbookView xWindow="-120" yWindow="-120" windowWidth="29040" windowHeight="15720" xr2:uid="{00000000-000D-0000-FFFF-FFFF00000000}"/>
  </bookViews>
  <sheets>
    <sheet name="Center Zone" sheetId="1" r:id="rId1"/>
    <sheet name="Intermediate Zone" sheetId="6" r:id="rId2"/>
    <sheet name="Outer Zone" sheetId="2" r:id="rId3"/>
    <sheet name="Movement" sheetId="4" r:id="rId4"/>
    <sheet name="Distance &amp; Velocity" sheetId="3" r:id="rId5"/>
    <sheet name="Procedures &amp; Referenc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2" l="1"/>
  <c r="R20" i="2"/>
  <c r="Q23" i="2"/>
  <c r="R23" i="2"/>
  <c r="Q20" i="6"/>
  <c r="R20" i="6"/>
  <c r="Q21" i="6"/>
  <c r="R21" i="6"/>
  <c r="Q23" i="6"/>
  <c r="R23" i="6"/>
  <c r="Q20" i="4"/>
  <c r="R20" i="4"/>
  <c r="Q23" i="4"/>
  <c r="R23" i="4"/>
  <c r="Q36" i="1"/>
  <c r="R36" i="1"/>
  <c r="Q39" i="1"/>
  <c r="R39" i="1"/>
  <c r="Q20" i="3" l="1"/>
  <c r="R20" i="3"/>
  <c r="Q22" i="3"/>
  <c r="R22" i="3"/>
  <c r="Q23" i="3"/>
  <c r="R23" i="3"/>
  <c r="R15" i="2"/>
  <c r="Q25" i="3"/>
  <c r="R25" i="3"/>
  <c r="Q26" i="3"/>
  <c r="R26" i="3"/>
  <c r="Q27" i="3"/>
  <c r="R27" i="3"/>
  <c r="Q24" i="3"/>
  <c r="R24" i="3"/>
  <c r="Q24" i="4"/>
  <c r="R24" i="4"/>
  <c r="Q25" i="4"/>
  <c r="R25" i="4"/>
  <c r="Q26" i="4"/>
  <c r="R26" i="4"/>
  <c r="Q27" i="4"/>
  <c r="R27" i="4"/>
  <c r="R14" i="2"/>
  <c r="R13" i="2"/>
  <c r="Q13" i="6"/>
  <c r="R13" i="6"/>
  <c r="Q14" i="6"/>
  <c r="R14" i="6"/>
  <c r="Q15" i="6"/>
  <c r="R15" i="6"/>
  <c r="Q24" i="2"/>
  <c r="R24" i="2"/>
  <c r="Q25" i="2"/>
  <c r="R25" i="2"/>
  <c r="Q26" i="2"/>
  <c r="R26" i="2"/>
  <c r="Q27" i="2"/>
  <c r="R27" i="2"/>
  <c r="Q24" i="6"/>
  <c r="R24" i="6"/>
  <c r="Q25" i="6"/>
  <c r="R25" i="6"/>
  <c r="Q26" i="6"/>
  <c r="R26" i="6"/>
  <c r="Q27" i="6"/>
  <c r="R27" i="6"/>
  <c r="Q40" i="1"/>
  <c r="R40" i="1"/>
  <c r="Q41" i="1"/>
  <c r="R41" i="1"/>
  <c r="Q42" i="1"/>
  <c r="R42" i="1"/>
  <c r="Q43" i="1"/>
  <c r="R43" i="1"/>
  <c r="Q12" i="3"/>
  <c r="R12" i="3"/>
  <c r="Q13" i="3"/>
  <c r="R13" i="3"/>
  <c r="Q14" i="3"/>
  <c r="R14" i="3"/>
  <c r="Q15" i="3"/>
  <c r="R15" i="3"/>
  <c r="Q12" i="4"/>
  <c r="R12" i="4"/>
  <c r="Q13" i="4"/>
  <c r="R13" i="4"/>
  <c r="Q14" i="4"/>
  <c r="R14" i="4"/>
  <c r="Q15" i="4"/>
  <c r="R15" i="4"/>
  <c r="Q12" i="2"/>
  <c r="Q13" i="2"/>
  <c r="Q14" i="2"/>
  <c r="Q15" i="2"/>
  <c r="R12" i="2"/>
  <c r="Q12" i="6"/>
  <c r="R12" i="6"/>
  <c r="Q28" i="1"/>
  <c r="R28" i="1"/>
  <c r="Q29" i="1"/>
  <c r="R29" i="1"/>
  <c r="Q30" i="1"/>
  <c r="R30" i="1"/>
  <c r="Q31" i="1"/>
  <c r="R31" i="1"/>
  <c r="Q24" i="1"/>
  <c r="Q25" i="1"/>
  <c r="P61" i="4" l="1"/>
  <c r="O61" i="4"/>
  <c r="N61" i="4"/>
  <c r="M61" i="4"/>
  <c r="L61" i="4"/>
  <c r="K61" i="4"/>
  <c r="J61" i="4"/>
  <c r="I61" i="4"/>
  <c r="H61" i="4"/>
  <c r="G61" i="4"/>
  <c r="F61" i="4"/>
  <c r="E61" i="4"/>
  <c r="P60" i="4"/>
  <c r="O60" i="4"/>
  <c r="N60" i="4"/>
  <c r="M60" i="4"/>
  <c r="L60" i="4"/>
  <c r="K60" i="4"/>
  <c r="J60" i="4"/>
  <c r="I60" i="4"/>
  <c r="H60" i="4"/>
  <c r="G60" i="4"/>
  <c r="F60" i="4"/>
  <c r="E60" i="4"/>
  <c r="P59" i="4"/>
  <c r="O59" i="4"/>
  <c r="N59" i="4"/>
  <c r="M59" i="4"/>
  <c r="L59" i="4"/>
  <c r="K59" i="4"/>
  <c r="J59" i="4"/>
  <c r="I59" i="4"/>
  <c r="H59" i="4"/>
  <c r="G59" i="4"/>
  <c r="F59" i="4"/>
  <c r="E59" i="4"/>
  <c r="P58" i="4"/>
  <c r="O58" i="4"/>
  <c r="N58" i="4"/>
  <c r="M58" i="4"/>
  <c r="L58" i="4"/>
  <c r="K58" i="4"/>
  <c r="J58" i="4"/>
  <c r="I58" i="4"/>
  <c r="H58" i="4"/>
  <c r="G58" i="4"/>
  <c r="F58" i="4"/>
  <c r="E58" i="4"/>
  <c r="P57" i="4"/>
  <c r="O57" i="4"/>
  <c r="N57" i="4"/>
  <c r="M57" i="4"/>
  <c r="L57" i="4"/>
  <c r="K57" i="4"/>
  <c r="J57" i="4"/>
  <c r="I57" i="4"/>
  <c r="H57" i="4"/>
  <c r="G57" i="4"/>
  <c r="F57" i="4"/>
  <c r="E57" i="4"/>
  <c r="P56" i="4"/>
  <c r="O56" i="4"/>
  <c r="N56" i="4"/>
  <c r="M56" i="4"/>
  <c r="L56" i="4"/>
  <c r="K56" i="4"/>
  <c r="J56" i="4"/>
  <c r="I56" i="4"/>
  <c r="H56" i="4"/>
  <c r="G56" i="4"/>
  <c r="F56" i="4"/>
  <c r="E56" i="4"/>
  <c r="P61" i="2"/>
  <c r="O61" i="2"/>
  <c r="N61" i="2"/>
  <c r="M61" i="2"/>
  <c r="L61" i="2"/>
  <c r="K61" i="2"/>
  <c r="J61" i="2"/>
  <c r="I61" i="2"/>
  <c r="H61" i="2"/>
  <c r="G61" i="2"/>
  <c r="F61" i="2"/>
  <c r="E61" i="2"/>
  <c r="P60" i="2"/>
  <c r="O60" i="2"/>
  <c r="N60" i="2"/>
  <c r="M60" i="2"/>
  <c r="L60" i="2"/>
  <c r="K60" i="2"/>
  <c r="J60" i="2"/>
  <c r="I60" i="2"/>
  <c r="H60" i="2"/>
  <c r="G60" i="2"/>
  <c r="F60" i="2"/>
  <c r="E60" i="2"/>
  <c r="P59" i="2"/>
  <c r="O59" i="2"/>
  <c r="N59" i="2"/>
  <c r="M59" i="2"/>
  <c r="L59" i="2"/>
  <c r="K59" i="2"/>
  <c r="J59" i="2"/>
  <c r="I59" i="2"/>
  <c r="H59" i="2"/>
  <c r="G59" i="2"/>
  <c r="F59" i="2"/>
  <c r="E59" i="2"/>
  <c r="P58" i="2"/>
  <c r="O58" i="2"/>
  <c r="N58" i="2"/>
  <c r="M58" i="2"/>
  <c r="L58" i="2"/>
  <c r="K58" i="2"/>
  <c r="J58" i="2"/>
  <c r="I58" i="2"/>
  <c r="H58" i="2"/>
  <c r="G58" i="2"/>
  <c r="F58" i="2"/>
  <c r="E58" i="2"/>
  <c r="P57" i="2"/>
  <c r="O57" i="2"/>
  <c r="N57" i="2"/>
  <c r="M57" i="2"/>
  <c r="L57" i="2"/>
  <c r="K57" i="2"/>
  <c r="J57" i="2"/>
  <c r="I57" i="2"/>
  <c r="H57" i="2"/>
  <c r="G57" i="2"/>
  <c r="F57" i="2"/>
  <c r="E57" i="2"/>
  <c r="P56" i="2"/>
  <c r="O56" i="2"/>
  <c r="N56" i="2"/>
  <c r="M56" i="2"/>
  <c r="L56" i="2"/>
  <c r="K56" i="2"/>
  <c r="J56" i="2"/>
  <c r="I56" i="2"/>
  <c r="H56" i="2"/>
  <c r="G56" i="2"/>
  <c r="F56" i="2"/>
  <c r="E56" i="2"/>
  <c r="P77" i="1"/>
  <c r="O77" i="1"/>
  <c r="N77" i="1"/>
  <c r="M77" i="1"/>
  <c r="L77" i="1"/>
  <c r="K77" i="1"/>
  <c r="J77" i="1"/>
  <c r="I77" i="1"/>
  <c r="H77" i="1"/>
  <c r="G77" i="1"/>
  <c r="F77" i="1"/>
  <c r="E77" i="1"/>
  <c r="P76" i="1"/>
  <c r="O76" i="1"/>
  <c r="N76" i="1"/>
  <c r="M76" i="1"/>
  <c r="L76" i="1"/>
  <c r="K76" i="1"/>
  <c r="J76" i="1"/>
  <c r="I76" i="1"/>
  <c r="H76" i="1"/>
  <c r="G76" i="1"/>
  <c r="F76" i="1"/>
  <c r="E76" i="1"/>
  <c r="P75" i="1"/>
  <c r="O75" i="1"/>
  <c r="N75" i="1"/>
  <c r="M75" i="1"/>
  <c r="L75" i="1"/>
  <c r="K75" i="1"/>
  <c r="J75" i="1"/>
  <c r="I75" i="1"/>
  <c r="H75" i="1"/>
  <c r="G75" i="1"/>
  <c r="F75" i="1"/>
  <c r="E75" i="1"/>
  <c r="P74" i="1"/>
  <c r="O74" i="1"/>
  <c r="N74" i="1"/>
  <c r="M74" i="1"/>
  <c r="L74" i="1"/>
  <c r="K74" i="1"/>
  <c r="J74" i="1"/>
  <c r="I74" i="1"/>
  <c r="H74" i="1"/>
  <c r="G74" i="1"/>
  <c r="F74" i="1"/>
  <c r="E74" i="1"/>
  <c r="P73" i="1"/>
  <c r="O73" i="1"/>
  <c r="N73" i="1"/>
  <c r="M73" i="1"/>
  <c r="L73" i="1"/>
  <c r="K73" i="1"/>
  <c r="J73" i="1"/>
  <c r="I73" i="1"/>
  <c r="H73" i="1"/>
  <c r="G73" i="1"/>
  <c r="F73" i="1"/>
  <c r="E73" i="1"/>
  <c r="P72" i="1"/>
  <c r="O72" i="1"/>
  <c r="N72" i="1"/>
  <c r="M72" i="1"/>
  <c r="L72" i="1"/>
  <c r="K72" i="1"/>
  <c r="J72" i="1"/>
  <c r="I72" i="1"/>
  <c r="H72" i="1"/>
  <c r="G72" i="1"/>
  <c r="F72" i="1"/>
  <c r="E72" i="1"/>
  <c r="R9" i="3" l="1"/>
  <c r="R10" i="3"/>
  <c r="R11" i="3"/>
  <c r="Q8" i="3"/>
  <c r="R8" i="3"/>
  <c r="E70" i="1"/>
  <c r="E34" i="1"/>
  <c r="Q37" i="1"/>
  <c r="R37" i="1"/>
  <c r="Q38" i="1"/>
  <c r="R38" i="1"/>
  <c r="R25" i="1"/>
  <c r="Q26" i="1"/>
  <c r="R26" i="1"/>
  <c r="Q27" i="1"/>
  <c r="R27" i="1"/>
  <c r="R24" i="1"/>
  <c r="F56" i="6"/>
  <c r="G56" i="6"/>
  <c r="H56" i="6"/>
  <c r="I56" i="6"/>
  <c r="J56" i="6"/>
  <c r="K56" i="6"/>
  <c r="L56" i="6"/>
  <c r="M56" i="6"/>
  <c r="N56" i="6"/>
  <c r="O56" i="6"/>
  <c r="P56" i="6"/>
  <c r="F57" i="6"/>
  <c r="G57" i="6"/>
  <c r="H57" i="6"/>
  <c r="I57" i="6"/>
  <c r="J57" i="6"/>
  <c r="K57" i="6"/>
  <c r="L57" i="6"/>
  <c r="M57" i="6"/>
  <c r="N57" i="6"/>
  <c r="O57" i="6"/>
  <c r="P57" i="6"/>
  <c r="F58" i="6"/>
  <c r="G58" i="6"/>
  <c r="H58" i="6"/>
  <c r="I58" i="6"/>
  <c r="J58" i="6"/>
  <c r="K58" i="6"/>
  <c r="L58" i="6"/>
  <c r="M58" i="6"/>
  <c r="N58" i="6"/>
  <c r="O58" i="6"/>
  <c r="P58" i="6"/>
  <c r="F59" i="6"/>
  <c r="G59" i="6"/>
  <c r="H59" i="6"/>
  <c r="I59" i="6"/>
  <c r="J59" i="6"/>
  <c r="K59" i="6"/>
  <c r="L59" i="6"/>
  <c r="M59" i="6"/>
  <c r="N59" i="6"/>
  <c r="O59" i="6"/>
  <c r="P59" i="6"/>
  <c r="F60" i="6"/>
  <c r="G60" i="6"/>
  <c r="H60" i="6"/>
  <c r="I60" i="6"/>
  <c r="J60" i="6"/>
  <c r="K60" i="6"/>
  <c r="L60" i="6"/>
  <c r="M60" i="6"/>
  <c r="N60" i="6"/>
  <c r="O60" i="6"/>
  <c r="P60" i="6"/>
  <c r="F61" i="6"/>
  <c r="G61" i="6"/>
  <c r="H61" i="6"/>
  <c r="I61" i="6"/>
  <c r="J61" i="6"/>
  <c r="K61" i="6"/>
  <c r="L61" i="6"/>
  <c r="M61" i="6"/>
  <c r="N61" i="6"/>
  <c r="O61" i="6"/>
  <c r="P61" i="6"/>
  <c r="E61" i="6"/>
  <c r="E60" i="6"/>
  <c r="E59" i="6"/>
  <c r="E58" i="6"/>
  <c r="E57" i="6"/>
  <c r="E56" i="6"/>
  <c r="Q22" i="6"/>
  <c r="R22" i="6"/>
  <c r="Q9" i="6"/>
  <c r="R9" i="6"/>
  <c r="Q10" i="6"/>
  <c r="R10" i="6"/>
  <c r="Q11" i="6"/>
  <c r="R11" i="6"/>
  <c r="R8" i="6"/>
  <c r="Q8" i="6"/>
  <c r="R22" i="2"/>
  <c r="Q22" i="2"/>
  <c r="R21" i="2"/>
  <c r="Q21" i="2"/>
  <c r="Q9" i="2"/>
  <c r="R9" i="2"/>
  <c r="Q10" i="2"/>
  <c r="R10" i="2"/>
  <c r="Q11" i="2"/>
  <c r="R11" i="2"/>
  <c r="Q8" i="2"/>
  <c r="R8" i="2"/>
  <c r="R22" i="4"/>
  <c r="Q22" i="4"/>
  <c r="R21" i="4"/>
  <c r="Q21" i="4"/>
  <c r="Q9" i="4"/>
  <c r="R9" i="4"/>
  <c r="Q10" i="4"/>
  <c r="R10" i="4"/>
  <c r="Q11" i="4"/>
  <c r="R11" i="4"/>
  <c r="R8" i="4"/>
  <c r="Q8" i="4"/>
  <c r="P55" i="4"/>
  <c r="O55" i="4"/>
  <c r="N55" i="4"/>
  <c r="M55" i="4"/>
  <c r="L55" i="4"/>
  <c r="K55" i="4"/>
  <c r="J55" i="4"/>
  <c r="I55" i="4"/>
  <c r="H55" i="4"/>
  <c r="G55" i="4"/>
  <c r="F55" i="4"/>
  <c r="E55" i="4"/>
  <c r="P54" i="4"/>
  <c r="O54" i="4"/>
  <c r="N54" i="4"/>
  <c r="M54" i="4"/>
  <c r="L54" i="4"/>
  <c r="K54" i="4"/>
  <c r="J54" i="4"/>
  <c r="I54" i="4"/>
  <c r="H54" i="4"/>
  <c r="G54" i="4"/>
  <c r="F54" i="4"/>
  <c r="E54" i="4"/>
  <c r="P43" i="4"/>
  <c r="O43" i="4"/>
  <c r="N43" i="4"/>
  <c r="M43" i="4"/>
  <c r="L43" i="4"/>
  <c r="K43" i="4"/>
  <c r="J43" i="4"/>
  <c r="I43" i="4"/>
  <c r="H43" i="4"/>
  <c r="G43" i="4"/>
  <c r="F43" i="4"/>
  <c r="E43" i="4"/>
  <c r="P42" i="4"/>
  <c r="O42" i="4"/>
  <c r="N42" i="4"/>
  <c r="M42" i="4"/>
  <c r="L42" i="4"/>
  <c r="K42" i="4"/>
  <c r="J42" i="4"/>
  <c r="I42" i="4"/>
  <c r="H42" i="4"/>
  <c r="G42" i="4"/>
  <c r="F42" i="4"/>
  <c r="E42" i="4"/>
  <c r="P31" i="4"/>
  <c r="O31" i="4"/>
  <c r="N31" i="4"/>
  <c r="M31" i="4"/>
  <c r="L31" i="4"/>
  <c r="K31" i="4"/>
  <c r="J31" i="4"/>
  <c r="I31" i="4"/>
  <c r="H31" i="4"/>
  <c r="G31" i="4"/>
  <c r="F31" i="4"/>
  <c r="E31" i="4"/>
  <c r="P30" i="4"/>
  <c r="O30" i="4"/>
  <c r="N30" i="4"/>
  <c r="M30" i="4"/>
  <c r="L30" i="4"/>
  <c r="K30" i="4"/>
  <c r="J30" i="4"/>
  <c r="I30" i="4"/>
  <c r="H30" i="4"/>
  <c r="G30" i="4"/>
  <c r="F30" i="4"/>
  <c r="E30" i="4"/>
  <c r="P19" i="4"/>
  <c r="O19" i="4"/>
  <c r="N19" i="4"/>
  <c r="M19" i="4"/>
  <c r="L19" i="4"/>
  <c r="K19" i="4"/>
  <c r="J19" i="4"/>
  <c r="I19" i="4"/>
  <c r="H19" i="4"/>
  <c r="G19" i="4"/>
  <c r="P18" i="4"/>
  <c r="O18" i="4"/>
  <c r="N18" i="4"/>
  <c r="M18" i="4"/>
  <c r="L18" i="4"/>
  <c r="K18" i="4"/>
  <c r="J18" i="4"/>
  <c r="I18" i="4"/>
  <c r="H18" i="4"/>
  <c r="G18" i="4"/>
  <c r="F19" i="4"/>
  <c r="F18" i="4"/>
  <c r="E19" i="4"/>
  <c r="E18" i="4"/>
  <c r="F56" i="3"/>
  <c r="G56" i="3"/>
  <c r="H56" i="3"/>
  <c r="I56" i="3"/>
  <c r="J56" i="3"/>
  <c r="K56" i="3"/>
  <c r="L56" i="3"/>
  <c r="M56" i="3"/>
  <c r="N56" i="3"/>
  <c r="O56" i="3"/>
  <c r="P56" i="3"/>
  <c r="F57" i="3"/>
  <c r="G57" i="3"/>
  <c r="H57" i="3"/>
  <c r="I57" i="3"/>
  <c r="J57" i="3"/>
  <c r="K57" i="3"/>
  <c r="L57" i="3"/>
  <c r="M57" i="3"/>
  <c r="N57" i="3"/>
  <c r="O57" i="3"/>
  <c r="P57" i="3"/>
  <c r="F58" i="3"/>
  <c r="G58" i="3"/>
  <c r="H58" i="3"/>
  <c r="I58" i="3"/>
  <c r="J58" i="3"/>
  <c r="K58" i="3"/>
  <c r="L58" i="3"/>
  <c r="M58" i="3"/>
  <c r="N58" i="3"/>
  <c r="O58" i="3"/>
  <c r="P58" i="3"/>
  <c r="F59" i="3"/>
  <c r="G59" i="3"/>
  <c r="H59" i="3"/>
  <c r="I59" i="3"/>
  <c r="J59" i="3"/>
  <c r="K59" i="3"/>
  <c r="L59" i="3"/>
  <c r="M59" i="3"/>
  <c r="N59" i="3"/>
  <c r="O59" i="3"/>
  <c r="P59" i="3"/>
  <c r="F60" i="3"/>
  <c r="G60" i="3"/>
  <c r="H60" i="3"/>
  <c r="I60" i="3"/>
  <c r="J60" i="3"/>
  <c r="K60" i="3"/>
  <c r="L60" i="3"/>
  <c r="M60" i="3"/>
  <c r="N60" i="3"/>
  <c r="O60" i="3"/>
  <c r="P60" i="3"/>
  <c r="F61" i="3"/>
  <c r="G61" i="3"/>
  <c r="H61" i="3"/>
  <c r="I61" i="3"/>
  <c r="J61" i="3"/>
  <c r="K61" i="3"/>
  <c r="L61" i="3"/>
  <c r="M61" i="3"/>
  <c r="N61" i="3"/>
  <c r="O61" i="3"/>
  <c r="P61" i="3"/>
  <c r="E61" i="3"/>
  <c r="E60" i="3"/>
  <c r="E59" i="3"/>
  <c r="E58" i="3"/>
  <c r="E57" i="3"/>
  <c r="E56" i="3"/>
  <c r="P55" i="3"/>
  <c r="O55" i="3"/>
  <c r="N55" i="3"/>
  <c r="M55" i="3"/>
  <c r="L55" i="3"/>
  <c r="K55" i="3"/>
  <c r="J55" i="3"/>
  <c r="I55" i="3"/>
  <c r="H55" i="3"/>
  <c r="G55" i="3"/>
  <c r="F55" i="3"/>
  <c r="E55" i="3"/>
  <c r="P54" i="3"/>
  <c r="O54" i="3"/>
  <c r="N54" i="3"/>
  <c r="M54" i="3"/>
  <c r="L54" i="3"/>
  <c r="K54" i="3"/>
  <c r="J54" i="3"/>
  <c r="I54" i="3"/>
  <c r="H54" i="3"/>
  <c r="G54" i="3"/>
  <c r="F54" i="3"/>
  <c r="E54" i="3"/>
  <c r="P43" i="3"/>
  <c r="O43" i="3"/>
  <c r="N43" i="3"/>
  <c r="M43" i="3"/>
  <c r="L43" i="3"/>
  <c r="K43" i="3"/>
  <c r="J43" i="3"/>
  <c r="I43" i="3"/>
  <c r="H43" i="3"/>
  <c r="G43" i="3"/>
  <c r="F43" i="3"/>
  <c r="E43" i="3"/>
  <c r="P42" i="3"/>
  <c r="O42" i="3"/>
  <c r="N42" i="3"/>
  <c r="M42" i="3"/>
  <c r="L42" i="3"/>
  <c r="K42" i="3"/>
  <c r="J42" i="3"/>
  <c r="I42" i="3"/>
  <c r="H42" i="3"/>
  <c r="G42" i="3"/>
  <c r="F42" i="3"/>
  <c r="E42" i="3"/>
  <c r="P31" i="3"/>
  <c r="O31" i="3"/>
  <c r="N31" i="3"/>
  <c r="M31" i="3"/>
  <c r="L31" i="3"/>
  <c r="K31" i="3"/>
  <c r="J31" i="3"/>
  <c r="I31" i="3"/>
  <c r="H31" i="3"/>
  <c r="G31" i="3"/>
  <c r="F31" i="3"/>
  <c r="E31" i="3"/>
  <c r="P30" i="3"/>
  <c r="O30" i="3"/>
  <c r="N30" i="3"/>
  <c r="M30" i="3"/>
  <c r="L30" i="3"/>
  <c r="K30" i="3"/>
  <c r="J30" i="3"/>
  <c r="I30" i="3"/>
  <c r="H30" i="3"/>
  <c r="G30" i="3"/>
  <c r="F30" i="3"/>
  <c r="E30" i="3"/>
  <c r="P19" i="3"/>
  <c r="O19" i="3"/>
  <c r="N19" i="3"/>
  <c r="M19" i="3"/>
  <c r="L19" i="3"/>
  <c r="K19" i="3"/>
  <c r="J19" i="3"/>
  <c r="I19" i="3"/>
  <c r="H19" i="3"/>
  <c r="G19" i="3"/>
  <c r="P18" i="3"/>
  <c r="O18" i="3"/>
  <c r="N18" i="3"/>
  <c r="M18" i="3"/>
  <c r="L18" i="3"/>
  <c r="K18" i="3"/>
  <c r="J18" i="3"/>
  <c r="I18" i="3"/>
  <c r="H18" i="3"/>
  <c r="G18" i="3"/>
  <c r="F19" i="3"/>
  <c r="F18" i="3"/>
  <c r="E19" i="3"/>
  <c r="E18" i="3"/>
  <c r="R21" i="3"/>
  <c r="Q21" i="3"/>
  <c r="Q9" i="3"/>
  <c r="Q10" i="3"/>
  <c r="Q11" i="3"/>
  <c r="N59" i="1"/>
  <c r="N58" i="1"/>
  <c r="M59" i="1"/>
  <c r="M58" i="1"/>
  <c r="M70" i="1"/>
  <c r="Q54" i="4" l="1"/>
  <c r="Q77" i="1"/>
  <c r="Q31" i="4"/>
  <c r="R42" i="4"/>
  <c r="R54" i="4"/>
  <c r="Q55" i="4"/>
  <c r="R77" i="1"/>
  <c r="Q74" i="1"/>
  <c r="Q72" i="1"/>
  <c r="Q73" i="1"/>
  <c r="R74" i="1"/>
  <c r="R73" i="1"/>
  <c r="R72" i="1"/>
  <c r="Q76" i="1"/>
  <c r="Q75" i="1"/>
  <c r="R76" i="1"/>
  <c r="R75" i="1"/>
  <c r="R55" i="4"/>
  <c r="Q42" i="4"/>
  <c r="Q61" i="4"/>
  <c r="R61" i="4"/>
  <c r="Q43" i="4"/>
  <c r="Q30" i="4"/>
  <c r="Q59" i="4"/>
  <c r="Q60" i="4"/>
  <c r="R59" i="4"/>
  <c r="R60" i="4"/>
  <c r="R31" i="4"/>
  <c r="Q58" i="4"/>
  <c r="Q56" i="4"/>
  <c r="Q57" i="4"/>
  <c r="R58" i="4"/>
  <c r="R56" i="4"/>
  <c r="R57" i="4"/>
  <c r="R61" i="2"/>
  <c r="Q61" i="2"/>
  <c r="Q60" i="2"/>
  <c r="Q59" i="2"/>
  <c r="R60" i="2"/>
  <c r="R59" i="2"/>
  <c r="R58" i="2"/>
  <c r="R57" i="2"/>
  <c r="R56" i="2"/>
  <c r="Q58" i="2"/>
  <c r="Q57" i="2"/>
  <c r="Q56" i="2"/>
  <c r="R58" i="6"/>
  <c r="R61" i="6"/>
  <c r="Q61" i="6"/>
  <c r="Q59" i="6"/>
  <c r="R59" i="6"/>
  <c r="Q56" i="6"/>
  <c r="R57" i="6"/>
  <c r="R56" i="6"/>
  <c r="R60" i="6"/>
  <c r="Q60" i="6"/>
  <c r="Q58" i="6"/>
  <c r="Q57" i="6"/>
  <c r="R46" i="1"/>
  <c r="R61" i="3"/>
  <c r="R31" i="3"/>
  <c r="R42" i="3"/>
  <c r="Q61" i="3"/>
  <c r="Q55" i="3"/>
  <c r="R18" i="3"/>
  <c r="R56" i="3"/>
  <c r="R55" i="3"/>
  <c r="Q42" i="3"/>
  <c r="Q56" i="3"/>
  <c r="Q59" i="3"/>
  <c r="Q19" i="3"/>
  <c r="Q18" i="3"/>
  <c r="R19" i="3"/>
  <c r="Q30" i="3"/>
  <c r="Q43" i="3"/>
  <c r="R30" i="3"/>
  <c r="R43" i="3"/>
  <c r="R60" i="3"/>
  <c r="Q60" i="3"/>
  <c r="R59" i="3"/>
  <c r="Q31" i="3"/>
  <c r="Q54" i="3"/>
  <c r="R54" i="3"/>
  <c r="R58" i="3"/>
  <c r="Q58" i="3"/>
  <c r="R57" i="3"/>
  <c r="Q57" i="3"/>
  <c r="R43" i="4"/>
  <c r="R30" i="4"/>
  <c r="Q18" i="4"/>
  <c r="Q19" i="4"/>
  <c r="R18" i="4"/>
  <c r="R19" i="4"/>
  <c r="P55" i="2"/>
  <c r="O55" i="2"/>
  <c r="N55" i="2"/>
  <c r="M55" i="2"/>
  <c r="L55" i="2"/>
  <c r="K55" i="2"/>
  <c r="J55" i="2"/>
  <c r="I55" i="2"/>
  <c r="H55" i="2"/>
  <c r="G55" i="2"/>
  <c r="F55" i="2"/>
  <c r="E55" i="2"/>
  <c r="P54" i="2"/>
  <c r="O54" i="2"/>
  <c r="N54" i="2"/>
  <c r="M54" i="2"/>
  <c r="L54" i="2"/>
  <c r="K54" i="2"/>
  <c r="J54" i="2"/>
  <c r="I54" i="2"/>
  <c r="H54" i="2"/>
  <c r="G54" i="2"/>
  <c r="F54" i="2"/>
  <c r="E54" i="2"/>
  <c r="P55" i="6"/>
  <c r="O55" i="6"/>
  <c r="N55" i="6"/>
  <c r="M55" i="6"/>
  <c r="L55" i="6"/>
  <c r="K55" i="6"/>
  <c r="J55" i="6"/>
  <c r="I55" i="6"/>
  <c r="H55" i="6"/>
  <c r="G55" i="6"/>
  <c r="F55" i="6"/>
  <c r="E55" i="6"/>
  <c r="P54" i="6"/>
  <c r="O54" i="6"/>
  <c r="N54" i="6"/>
  <c r="M54" i="6"/>
  <c r="L54" i="6"/>
  <c r="K54" i="6"/>
  <c r="J54" i="6"/>
  <c r="I54" i="6"/>
  <c r="H54" i="6"/>
  <c r="G54" i="6"/>
  <c r="F54" i="6"/>
  <c r="E54" i="6"/>
  <c r="P71" i="1"/>
  <c r="O71" i="1"/>
  <c r="N71" i="1"/>
  <c r="M71" i="1"/>
  <c r="L71" i="1"/>
  <c r="K71" i="1"/>
  <c r="J71" i="1"/>
  <c r="I71" i="1"/>
  <c r="H71" i="1"/>
  <c r="G71" i="1"/>
  <c r="F71" i="1"/>
  <c r="E71" i="1"/>
  <c r="P70" i="1"/>
  <c r="O70" i="1"/>
  <c r="N70" i="1"/>
  <c r="L70" i="1"/>
  <c r="K70" i="1"/>
  <c r="J70" i="1"/>
  <c r="I70" i="1"/>
  <c r="H70" i="1"/>
  <c r="G70" i="1"/>
  <c r="F70" i="1"/>
  <c r="R55" i="6" l="1"/>
  <c r="R55" i="2"/>
  <c r="R54" i="2"/>
  <c r="R54" i="6"/>
  <c r="Q54" i="6"/>
  <c r="R71" i="1"/>
  <c r="Q55" i="2"/>
  <c r="Q54" i="2"/>
  <c r="Q55" i="6"/>
  <c r="Q70" i="1"/>
  <c r="Q71" i="1"/>
  <c r="R70" i="1"/>
  <c r="E59" i="1" l="1"/>
  <c r="P43" i="2"/>
  <c r="O43" i="2"/>
  <c r="N43" i="2"/>
  <c r="M43" i="2"/>
  <c r="L43" i="2"/>
  <c r="K43" i="2"/>
  <c r="J43" i="2"/>
  <c r="I43" i="2"/>
  <c r="H43" i="2"/>
  <c r="G43" i="2"/>
  <c r="F43" i="2"/>
  <c r="E43" i="2"/>
  <c r="P42" i="2"/>
  <c r="O42" i="2"/>
  <c r="N42" i="2"/>
  <c r="M42" i="2"/>
  <c r="L42" i="2"/>
  <c r="K42" i="2"/>
  <c r="J42" i="2"/>
  <c r="I42" i="2"/>
  <c r="H42" i="2"/>
  <c r="G42" i="2"/>
  <c r="F42" i="2"/>
  <c r="E42" i="2"/>
  <c r="P31" i="2"/>
  <c r="O31" i="2"/>
  <c r="N31" i="2"/>
  <c r="M31" i="2"/>
  <c r="L31" i="2"/>
  <c r="K31" i="2"/>
  <c r="J31" i="2"/>
  <c r="I31" i="2"/>
  <c r="H31" i="2"/>
  <c r="G31" i="2"/>
  <c r="F31" i="2"/>
  <c r="E31" i="2"/>
  <c r="P30" i="2"/>
  <c r="O30" i="2"/>
  <c r="N30" i="2"/>
  <c r="M30" i="2"/>
  <c r="L30" i="2"/>
  <c r="K30" i="2"/>
  <c r="J30" i="2"/>
  <c r="I30" i="2"/>
  <c r="H30" i="2"/>
  <c r="G30" i="2"/>
  <c r="F30" i="2"/>
  <c r="E30" i="2"/>
  <c r="P19" i="2"/>
  <c r="O19" i="2"/>
  <c r="N19" i="2"/>
  <c r="M19" i="2"/>
  <c r="L19" i="2"/>
  <c r="K19" i="2"/>
  <c r="J19" i="2"/>
  <c r="I19" i="2"/>
  <c r="H19" i="2"/>
  <c r="G19" i="2"/>
  <c r="F19" i="2"/>
  <c r="E19" i="2"/>
  <c r="P18" i="2"/>
  <c r="O18" i="2"/>
  <c r="N18" i="2"/>
  <c r="M18" i="2"/>
  <c r="L18" i="2"/>
  <c r="K18" i="2"/>
  <c r="J18" i="2"/>
  <c r="I18" i="2"/>
  <c r="H18" i="2"/>
  <c r="G18" i="2"/>
  <c r="F18" i="2"/>
  <c r="E18" i="2"/>
  <c r="Q19" i="2" l="1"/>
  <c r="Q43" i="2"/>
  <c r="R42" i="2"/>
  <c r="Q42" i="2"/>
  <c r="R18" i="2"/>
  <c r="Q30" i="2"/>
  <c r="Q31" i="2"/>
  <c r="R19" i="2"/>
  <c r="Q18" i="2"/>
  <c r="R43" i="2"/>
  <c r="R31" i="2"/>
  <c r="R30" i="2"/>
  <c r="P43" i="6"/>
  <c r="O43" i="6"/>
  <c r="N43" i="6"/>
  <c r="M43" i="6"/>
  <c r="L43" i="6"/>
  <c r="K43" i="6"/>
  <c r="J43" i="6"/>
  <c r="I43" i="6"/>
  <c r="H43" i="6"/>
  <c r="G43" i="6"/>
  <c r="F43" i="6"/>
  <c r="E43" i="6"/>
  <c r="P42" i="6"/>
  <c r="O42" i="6"/>
  <c r="N42" i="6"/>
  <c r="M42" i="6"/>
  <c r="L42" i="6"/>
  <c r="K42" i="6"/>
  <c r="J42" i="6"/>
  <c r="I42" i="6"/>
  <c r="H42" i="6"/>
  <c r="G42" i="6"/>
  <c r="F42" i="6"/>
  <c r="E42" i="6"/>
  <c r="P31" i="6"/>
  <c r="O31" i="6"/>
  <c r="N31" i="6"/>
  <c r="M31" i="6"/>
  <c r="L31" i="6"/>
  <c r="K31" i="6"/>
  <c r="J31" i="6"/>
  <c r="I31" i="6"/>
  <c r="H31" i="6"/>
  <c r="G31" i="6"/>
  <c r="F31" i="6"/>
  <c r="E31" i="6"/>
  <c r="P30" i="6"/>
  <c r="O30" i="6"/>
  <c r="N30" i="6"/>
  <c r="M30" i="6"/>
  <c r="L30" i="6"/>
  <c r="K30" i="6"/>
  <c r="J30" i="6"/>
  <c r="I30" i="6"/>
  <c r="H30" i="6"/>
  <c r="G30" i="6"/>
  <c r="F30" i="6"/>
  <c r="E30" i="6"/>
  <c r="P19" i="6"/>
  <c r="O19" i="6"/>
  <c r="N19" i="6"/>
  <c r="M19" i="6"/>
  <c r="L19" i="6"/>
  <c r="K19" i="6"/>
  <c r="J19" i="6"/>
  <c r="I19" i="6"/>
  <c r="H19" i="6"/>
  <c r="G19" i="6"/>
  <c r="F19" i="6"/>
  <c r="E19" i="6"/>
  <c r="P18" i="6"/>
  <c r="O18" i="6"/>
  <c r="N18" i="6"/>
  <c r="M18" i="6"/>
  <c r="L18" i="6"/>
  <c r="K18" i="6"/>
  <c r="J18" i="6"/>
  <c r="I18" i="6"/>
  <c r="H18" i="6"/>
  <c r="G18" i="6"/>
  <c r="F18" i="6"/>
  <c r="E18" i="6"/>
  <c r="P59" i="1"/>
  <c r="O59" i="1"/>
  <c r="L59" i="1"/>
  <c r="K59" i="1"/>
  <c r="J59" i="1"/>
  <c r="I59" i="1"/>
  <c r="H59" i="1"/>
  <c r="G59" i="1"/>
  <c r="F59" i="1"/>
  <c r="P58" i="1"/>
  <c r="O58" i="1"/>
  <c r="L58" i="1"/>
  <c r="K58" i="1"/>
  <c r="J58" i="1"/>
  <c r="I58" i="1"/>
  <c r="H58" i="1"/>
  <c r="G58" i="1"/>
  <c r="F58" i="1"/>
  <c r="E58" i="1"/>
  <c r="R30" i="6" l="1"/>
  <c r="Q42" i="6"/>
  <c r="Q18" i="6"/>
  <c r="R42" i="6"/>
  <c r="Q19" i="6"/>
  <c r="Q59" i="1"/>
  <c r="R19" i="6"/>
  <c r="R18" i="6"/>
  <c r="Q31" i="6"/>
  <c r="Q43" i="6"/>
  <c r="R31" i="6"/>
  <c r="R43" i="6"/>
  <c r="Q30" i="6"/>
  <c r="R58" i="1"/>
  <c r="Q58" i="1"/>
  <c r="R59" i="1"/>
  <c r="P47" i="1" l="1"/>
  <c r="O47" i="1"/>
  <c r="N47" i="1"/>
  <c r="M47" i="1"/>
  <c r="L47" i="1"/>
  <c r="K47" i="1"/>
  <c r="J47" i="1"/>
  <c r="I47" i="1"/>
  <c r="H47" i="1"/>
  <c r="G47" i="1"/>
  <c r="F47" i="1"/>
  <c r="E47" i="1"/>
  <c r="P46" i="1"/>
  <c r="O46" i="1"/>
  <c r="N46" i="1"/>
  <c r="M46" i="1"/>
  <c r="L46" i="1"/>
  <c r="K46" i="1"/>
  <c r="J46" i="1"/>
  <c r="I46" i="1"/>
  <c r="H46" i="1"/>
  <c r="G46" i="1"/>
  <c r="F46" i="1"/>
  <c r="E46" i="1"/>
  <c r="P35" i="1"/>
  <c r="O35" i="1"/>
  <c r="N35" i="1"/>
  <c r="M35" i="1"/>
  <c r="L35" i="1"/>
  <c r="K35" i="1"/>
  <c r="J35" i="1"/>
  <c r="I35" i="1"/>
  <c r="H35" i="1"/>
  <c r="G35" i="1"/>
  <c r="F35" i="1"/>
  <c r="E35" i="1"/>
  <c r="P34" i="1"/>
  <c r="O34" i="1"/>
  <c r="N34" i="1"/>
  <c r="M34" i="1"/>
  <c r="L34" i="1"/>
  <c r="K34" i="1"/>
  <c r="J34" i="1"/>
  <c r="I34" i="1"/>
  <c r="H34" i="1"/>
  <c r="G34" i="1"/>
  <c r="F34" i="1"/>
  <c r="Q47" i="1" l="1"/>
  <c r="R34" i="1"/>
  <c r="Q35" i="1"/>
  <c r="R47" i="1"/>
  <c r="R35" i="1"/>
  <c r="Q34" i="1"/>
  <c r="Q46" i="1"/>
</calcChain>
</file>

<file path=xl/sharedStrings.xml><?xml version="1.0" encoding="utf-8"?>
<sst xmlns="http://schemas.openxmlformats.org/spreadsheetml/2006/main" count="475" uniqueCount="89">
  <si>
    <t>Study Condition</t>
  </si>
  <si>
    <t>Abbreviations</t>
  </si>
  <si>
    <t>Contact and Grant Acknowledgement</t>
  </si>
  <si>
    <t xml:space="preserve">  1.   Room temperature:</t>
  </si>
  <si>
    <t>22 °C</t>
  </si>
  <si>
    <t xml:space="preserve">  2.   Humidity:</t>
  </si>
  <si>
    <t xml:space="preserve">  3.   Sound (backgroud):</t>
  </si>
  <si>
    <t xml:space="preserve">  4.   Light intensity:</t>
  </si>
  <si>
    <t xml:space="preserve">  5.   Strain/gender</t>
  </si>
  <si>
    <t xml:space="preserve">  6.   Groups:</t>
  </si>
  <si>
    <t>Noldus Ethovision XT</t>
  </si>
  <si>
    <t xml:space="preserve">  1.   Distance Traveled:</t>
  </si>
  <si>
    <t xml:space="preserve">Total distance the animal traveled </t>
  </si>
  <si>
    <t xml:space="preserve">  2.   Average Velocity:</t>
  </si>
  <si>
    <t>Average velocity the animals traveled</t>
  </si>
  <si>
    <t xml:space="preserve">  3.   In Zone Frequency:</t>
  </si>
  <si>
    <t>Frequency of the animals entering each</t>
  </si>
  <si>
    <t>zone</t>
  </si>
  <si>
    <t xml:space="preserve">  4.   In Zone Duration:</t>
  </si>
  <si>
    <t>Time the animal spent in each zone</t>
  </si>
  <si>
    <t xml:space="preserve">  5.   Rearing Supported:</t>
  </si>
  <si>
    <t>with support (i.e. along the wall)</t>
  </si>
  <si>
    <t xml:space="preserve">  6.   Movement:</t>
  </si>
  <si>
    <t xml:space="preserve">Percentage of total time the animal was </t>
  </si>
  <si>
    <t>moving or stationary</t>
  </si>
  <si>
    <t xml:space="preserve">1.  If you have any questions regarding the study procedures and the calculation </t>
  </si>
  <si>
    <t xml:space="preserve">2.  If you have any questions regarding the charges of the services or other administrative </t>
  </si>
  <si>
    <t xml:space="preserve">3.  If you include these results in any publications, please mention us as the  "University of </t>
  </si>
  <si>
    <t xml:space="preserve">     Michigan Animal Phenotyping Core" for conducting the study. The study was supported </t>
  </si>
  <si>
    <t xml:space="preserve">     Our productivity and effectiveness as a Core is measured in part by the citation of the </t>
  </si>
  <si>
    <t xml:space="preserve">     grants in published work.</t>
  </si>
  <si>
    <r>
      <t xml:space="preserve">     equations, please contact Nathan Qi at:    </t>
    </r>
    <r>
      <rPr>
        <b/>
        <sz val="10.5"/>
        <color rgb="FFC00000"/>
        <rFont val="Arial"/>
        <family val="2"/>
      </rPr>
      <t>(734) 232-8223 or nathanqi@med.umich.edu</t>
    </r>
  </si>
  <si>
    <t>00:00-05:00</t>
  </si>
  <si>
    <t>05:01-10:00</t>
  </si>
  <si>
    <t>10:01-15:00</t>
  </si>
  <si>
    <t>15:01-20:00</t>
  </si>
  <si>
    <t>20:01-25:00</t>
  </si>
  <si>
    <t>25:01-30:00</t>
  </si>
  <si>
    <t>Total</t>
  </si>
  <si>
    <t>Duration</t>
  </si>
  <si>
    <t>Frequency</t>
  </si>
  <si>
    <t>Animal#</t>
  </si>
  <si>
    <t>Sex/DOB</t>
  </si>
  <si>
    <t>ID</t>
  </si>
  <si>
    <t>(%)</t>
  </si>
  <si>
    <t>(times)</t>
  </si>
  <si>
    <t>Group 1</t>
  </si>
  <si>
    <t>Avg</t>
  </si>
  <si>
    <t>se</t>
  </si>
  <si>
    <t>Group 2</t>
  </si>
  <si>
    <t>2-Tail T-Test</t>
  </si>
  <si>
    <t>(G1 vs. G2)</t>
  </si>
  <si>
    <t>Distance</t>
  </si>
  <si>
    <t>Velocity</t>
  </si>
  <si>
    <t>(cm)</t>
  </si>
  <si>
    <t>(cm/s)</t>
  </si>
  <si>
    <t>Moving</t>
  </si>
  <si>
    <t>Not Moving</t>
  </si>
  <si>
    <t>Group 3</t>
  </si>
  <si>
    <t>(G1 vs. G3)</t>
  </si>
  <si>
    <t>(G2 vs. G3)</t>
  </si>
  <si>
    <t>35.3-45.4 dB</t>
  </si>
  <si>
    <r>
      <t xml:space="preserve">     work, please contact Zhe Wu at:   </t>
    </r>
    <r>
      <rPr>
        <b/>
        <sz val="10.5"/>
        <color rgb="FFC00000"/>
        <rFont val="Arial"/>
        <family val="2"/>
      </rPr>
      <t xml:space="preserve"> (734) 764-7043 or zhewu@med.umich.edu</t>
    </r>
    <r>
      <rPr>
        <b/>
        <sz val="10.5"/>
        <color theme="1"/>
        <rFont val="Arial"/>
        <family val="2"/>
      </rPr>
      <t xml:space="preserve">  </t>
    </r>
  </si>
  <si>
    <t xml:space="preserve">Time or frequency the animal had rearing </t>
  </si>
  <si>
    <t>Group 4</t>
  </si>
  <si>
    <t>(G1 vs. G4)</t>
  </si>
  <si>
    <t>(G2 vs. G4)</t>
  </si>
  <si>
    <t>(G3 vs. G4)</t>
  </si>
  <si>
    <t>1 hour prior to testing</t>
  </si>
  <si>
    <t>10:00 am to 3pm, 30 min each subject</t>
  </si>
  <si>
    <t>45x45x30 (cm3)</t>
  </si>
  <si>
    <t>Total (Average)</t>
  </si>
  <si>
    <r>
      <t xml:space="preserve">     by NIDDK Mouse Metabolic Phenotyping Center (MMPC-</t>
    </r>
    <r>
      <rPr>
        <b/>
        <i/>
        <sz val="10.5"/>
        <color theme="1"/>
        <rFont val="Arial"/>
        <family val="2"/>
      </rPr>
      <t>Live</t>
    </r>
    <r>
      <rPr>
        <b/>
        <sz val="10.5"/>
        <color theme="1"/>
        <rFont val="Arial"/>
        <family val="2"/>
      </rPr>
      <t xml:space="preserve">): </t>
    </r>
    <r>
      <rPr>
        <b/>
        <sz val="10.5"/>
        <color rgb="FFC00000"/>
        <rFont val="Arial"/>
        <family val="2"/>
      </rPr>
      <t>1U2CDK110768</t>
    </r>
    <r>
      <rPr>
        <b/>
        <sz val="10.5"/>
        <color theme="1"/>
        <rFont val="Arial"/>
        <family val="2"/>
      </rPr>
      <t xml:space="preserve">. </t>
    </r>
  </si>
  <si>
    <t>300 lux</t>
  </si>
  <si>
    <t>C57BL6/J Male</t>
  </si>
  <si>
    <t xml:space="preserve">  7.   Diet:</t>
  </si>
  <si>
    <t xml:space="preserve">        (wt%, Protein/Carb/Fat)</t>
  </si>
  <si>
    <t xml:space="preserve">  8.   Acclimation Time:</t>
  </si>
  <si>
    <t xml:space="preserve"> 10.  Tracking Software:</t>
  </si>
  <si>
    <t xml:space="preserve"> 11.  Open field box size: </t>
  </si>
  <si>
    <t>M 24-25wks</t>
  </si>
  <si>
    <t xml:space="preserve">  9.  Test Run Time:</t>
  </si>
  <si>
    <t>2025-06-25 ~09-10, 10:00AM</t>
  </si>
  <si>
    <t>(25.0/47.5/5.0)</t>
  </si>
  <si>
    <t>2) LabDiet 5LOD</t>
  </si>
  <si>
    <t>1) NCD CON</t>
  </si>
  <si>
    <t>2) NCD CUS</t>
  </si>
  <si>
    <t>NCD CON</t>
  </si>
  <si>
    <t>NCD 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</si>
</sst>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indexed="13"/>
      <name val="Arial"/>
      <family val="2"/>
    </font>
    <font>
      <i/>
      <sz val="10"/>
      <color rgb="FFFFC000"/>
      <name val="Arial"/>
      <family val="2"/>
    </font>
    <font>
      <sz val="16"/>
      <color rgb="FF000099"/>
      <name val="Arial Rounded MT Bold"/>
      <family val="2"/>
    </font>
    <font>
      <b/>
      <sz val="10.5"/>
      <color theme="1"/>
      <name val="Arial"/>
      <family val="2"/>
    </font>
    <font>
      <b/>
      <sz val="10.5"/>
      <name val="Arial"/>
      <family val="2"/>
    </font>
    <font>
      <b/>
      <sz val="10.5"/>
      <color rgb="FFC00000"/>
      <name val="Arial"/>
      <family val="2"/>
    </font>
    <font>
      <b/>
      <sz val="11"/>
      <color theme="1"/>
      <name val="Arial"/>
      <family val="2"/>
    </font>
    <font>
      <b/>
      <sz val="16"/>
      <color rgb="FF000099"/>
      <name val="Arial"/>
      <family val="2"/>
    </font>
    <font>
      <b/>
      <sz val="16"/>
      <color rgb="FF0000CC"/>
      <name val="Arial"/>
      <family val="2"/>
    </font>
    <font>
      <b/>
      <sz val="12"/>
      <color indexed="9"/>
      <name val="Arial"/>
      <family val="2"/>
    </font>
    <font>
      <b/>
      <sz val="10.5"/>
      <color theme="1"/>
      <name val="Arial Narrow"/>
      <family val="2"/>
    </font>
    <font>
      <sz val="10.5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rgb="FFC0000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rgb="FF0000CC"/>
      <name val="Arial"/>
      <family val="2"/>
    </font>
    <font>
      <b/>
      <i/>
      <sz val="10.5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7">
    <xf numFmtId="0" fontId="0" fillId="0" borderId="0" xfId="0"/>
    <xf numFmtId="0" fontId="0" fillId="2" borderId="0" xfId="0" applyFill="1"/>
    <xf numFmtId="0" fontId="0" fillId="2" borderId="0" xfId="0" applyFill="1" applyProtection="1">
      <protection hidden="1"/>
    </xf>
    <xf numFmtId="0" fontId="5" fillId="3" borderId="1" xfId="0" applyFont="1" applyFill="1" applyBorder="1" applyProtection="1">
      <protection hidden="1"/>
    </xf>
    <xf numFmtId="0" fontId="5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5" fillId="3" borderId="2" xfId="0" applyFont="1" applyFill="1" applyBorder="1" applyProtection="1">
      <protection hidden="1"/>
    </xf>
    <xf numFmtId="9" fontId="6" fillId="3" borderId="0" xfId="0" applyNumberFormat="1" applyFont="1" applyFill="1" applyAlignment="1" applyProtection="1">
      <alignment horizontal="left"/>
      <protection hidden="1"/>
    </xf>
    <xf numFmtId="0" fontId="5" fillId="3" borderId="6" xfId="0" applyFont="1" applyFill="1" applyBorder="1" applyProtection="1">
      <protection hidden="1"/>
    </xf>
    <xf numFmtId="0" fontId="5" fillId="3" borderId="7" xfId="0" applyFont="1" applyFill="1" applyBorder="1" applyProtection="1">
      <protection hidden="1"/>
    </xf>
    <xf numFmtId="0" fontId="5" fillId="3" borderId="8" xfId="0" applyFont="1" applyFill="1" applyBorder="1" applyProtection="1">
      <protection hidden="1"/>
    </xf>
    <xf numFmtId="0" fontId="0" fillId="3" borderId="9" xfId="0" applyFill="1" applyBorder="1" applyProtection="1">
      <protection hidden="1"/>
    </xf>
    <xf numFmtId="0" fontId="0" fillId="3" borderId="10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9" fillId="3" borderId="1" xfId="0" applyFont="1" applyFill="1" applyBorder="1" applyProtection="1">
      <protection hidden="1"/>
    </xf>
    <xf numFmtId="0" fontId="10" fillId="3" borderId="0" xfId="0" applyFont="1" applyFill="1" applyProtection="1">
      <protection hidden="1"/>
    </xf>
    <xf numFmtId="0" fontId="11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2" fontId="0" fillId="3" borderId="0" xfId="0" applyNumberFormat="1" applyFill="1" applyProtection="1">
      <protection hidden="1"/>
    </xf>
    <xf numFmtId="0" fontId="0" fillId="3" borderId="2" xfId="0" applyFill="1" applyBorder="1" applyProtection="1">
      <protection hidden="1"/>
    </xf>
    <xf numFmtId="0" fontId="8" fillId="3" borderId="9" xfId="0" applyFont="1" applyFill="1" applyBorder="1" applyAlignment="1" applyProtection="1">
      <alignment vertical="center"/>
      <protection hidden="1"/>
    </xf>
    <xf numFmtId="0" fontId="8" fillId="3" borderId="10" xfId="0" applyFont="1" applyFill="1" applyBorder="1" applyAlignment="1" applyProtection="1">
      <alignment vertical="center"/>
      <protection hidden="1"/>
    </xf>
    <xf numFmtId="0" fontId="8" fillId="3" borderId="11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Alignment="1" applyProtection="1">
      <alignment vertical="center"/>
      <protection hidden="1"/>
    </xf>
    <xf numFmtId="0" fontId="8" fillId="3" borderId="0" xfId="0" applyFont="1" applyFill="1" applyAlignment="1" applyProtection="1">
      <alignment vertical="center"/>
      <protection hidden="1"/>
    </xf>
    <xf numFmtId="0" fontId="8" fillId="3" borderId="2" xfId="0" applyFont="1" applyFill="1" applyBorder="1" applyAlignment="1" applyProtection="1">
      <alignment vertical="center"/>
      <protection hidden="1"/>
    </xf>
    <xf numFmtId="0" fontId="5" fillId="3" borderId="9" xfId="0" applyFont="1" applyFill="1" applyBorder="1" applyAlignment="1" applyProtection="1">
      <alignment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2" xfId="0" applyFont="1" applyFill="1" applyBorder="1" applyAlignment="1" applyProtection="1">
      <alignment horizontal="center" vertical="center" wrapText="1"/>
      <protection hidden="1"/>
    </xf>
    <xf numFmtId="0" fontId="0" fillId="3" borderId="6" xfId="0" applyFill="1" applyBorder="1" applyProtection="1">
      <protection hidden="1"/>
    </xf>
    <xf numFmtId="0" fontId="8" fillId="3" borderId="7" xfId="0" applyFont="1" applyFill="1" applyBorder="1" applyAlignment="1" applyProtection="1">
      <alignment horizontal="center"/>
      <protection hidden="1"/>
    </xf>
    <xf numFmtId="0" fontId="8" fillId="3" borderId="8" xfId="0" applyFont="1" applyFill="1" applyBorder="1" applyAlignment="1" applyProtection="1">
      <alignment horizontal="center"/>
      <protection hidden="1"/>
    </xf>
    <xf numFmtId="0" fontId="13" fillId="3" borderId="13" xfId="0" applyFont="1" applyFill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14" fillId="4" borderId="13" xfId="0" applyFont="1" applyFill="1" applyBorder="1" applyAlignment="1" applyProtection="1">
      <alignment horizontal="center"/>
      <protection hidden="1"/>
    </xf>
    <xf numFmtId="0" fontId="14" fillId="4" borderId="13" xfId="0" applyFont="1" applyFill="1" applyBorder="1" applyAlignment="1" applyProtection="1">
      <alignment horizontal="center" wrapText="1"/>
      <protection hidden="1"/>
    </xf>
    <xf numFmtId="0" fontId="14" fillId="5" borderId="12" xfId="0" applyFont="1" applyFill="1" applyBorder="1" applyAlignment="1" applyProtection="1">
      <alignment horizontal="center"/>
      <protection hidden="1"/>
    </xf>
    <xf numFmtId="0" fontId="17" fillId="5" borderId="10" xfId="0" applyFont="1" applyFill="1" applyBorder="1" applyAlignment="1" applyProtection="1">
      <alignment horizontal="center"/>
      <protection hidden="1"/>
    </xf>
    <xf numFmtId="0" fontId="14" fillId="5" borderId="13" xfId="0" applyFont="1" applyFill="1" applyBorder="1" applyAlignment="1" applyProtection="1">
      <alignment horizontal="center" wrapText="1"/>
      <protection hidden="1"/>
    </xf>
    <xf numFmtId="0" fontId="17" fillId="5" borderId="0" xfId="0" applyFont="1" applyFill="1" applyAlignment="1" applyProtection="1">
      <alignment horizontal="center" wrapText="1"/>
      <protection hidden="1"/>
    </xf>
    <xf numFmtId="0" fontId="17" fillId="6" borderId="9" xfId="0" applyFont="1" applyFill="1" applyBorder="1" applyAlignment="1" applyProtection="1">
      <alignment horizontal="center" wrapText="1"/>
      <protection hidden="1"/>
    </xf>
    <xf numFmtId="0" fontId="17" fillId="6" borderId="1" xfId="0" applyFont="1" applyFill="1" applyBorder="1" applyAlignment="1" applyProtection="1">
      <alignment horizontal="center" wrapText="1"/>
      <protection hidden="1"/>
    </xf>
    <xf numFmtId="0" fontId="14" fillId="6" borderId="13" xfId="0" applyFont="1" applyFill="1" applyBorder="1" applyAlignment="1" applyProtection="1">
      <alignment horizontal="center" wrapText="1"/>
      <protection hidden="1"/>
    </xf>
    <xf numFmtId="0" fontId="17" fillId="6" borderId="0" xfId="0" applyFont="1" applyFill="1" applyAlignment="1" applyProtection="1">
      <alignment horizontal="center" wrapText="1"/>
      <protection hidden="1"/>
    </xf>
    <xf numFmtId="0" fontId="0" fillId="3" borderId="7" xfId="0" applyFill="1" applyBorder="1" applyProtection="1">
      <protection hidden="1"/>
    </xf>
    <xf numFmtId="0" fontId="0" fillId="3" borderId="8" xfId="0" applyFill="1" applyBorder="1" applyProtection="1">
      <protection hidden="1"/>
    </xf>
    <xf numFmtId="0" fontId="12" fillId="3" borderId="9" xfId="0" applyFont="1" applyFill="1" applyBorder="1" applyAlignment="1" applyProtection="1">
      <alignment horizontal="center" vertical="center" wrapText="1"/>
      <protection hidden="1"/>
    </xf>
    <xf numFmtId="0" fontId="12" fillId="3" borderId="12" xfId="0" applyFont="1" applyFill="1" applyBorder="1" applyAlignment="1" applyProtection="1">
      <alignment horizontal="center" vertical="center" wrapText="1"/>
      <protection hidden="1"/>
    </xf>
    <xf numFmtId="0" fontId="5" fillId="3" borderId="10" xfId="0" applyFont="1" applyFill="1" applyBorder="1" applyAlignment="1" applyProtection="1">
      <alignment vertical="center" wrapText="1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/>
    <xf numFmtId="0" fontId="19" fillId="6" borderId="0" xfId="0" applyFont="1" applyFill="1" applyProtection="1">
      <protection hidden="1"/>
    </xf>
    <xf numFmtId="0" fontId="19" fillId="7" borderId="0" xfId="0" applyFont="1" applyFill="1" applyProtection="1">
      <protection hidden="1"/>
    </xf>
    <xf numFmtId="0" fontId="17" fillId="7" borderId="9" xfId="0" applyFont="1" applyFill="1" applyBorder="1" applyAlignment="1" applyProtection="1">
      <alignment horizontal="center" wrapText="1"/>
      <protection hidden="1"/>
    </xf>
    <xf numFmtId="0" fontId="17" fillId="7" borderId="1" xfId="0" applyFont="1" applyFill="1" applyBorder="1" applyAlignment="1" applyProtection="1">
      <alignment horizontal="center" wrapText="1"/>
      <protection hidden="1"/>
    </xf>
    <xf numFmtId="0" fontId="14" fillId="7" borderId="13" xfId="0" applyFont="1" applyFill="1" applyBorder="1" applyAlignment="1" applyProtection="1">
      <alignment horizontal="center" wrapText="1"/>
      <protection hidden="1"/>
    </xf>
    <xf numFmtId="0" fontId="17" fillId="7" borderId="0" xfId="0" applyFont="1" applyFill="1" applyAlignment="1" applyProtection="1">
      <alignment horizontal="center" wrapText="1"/>
      <protection hidden="1"/>
    </xf>
    <xf numFmtId="0" fontId="16" fillId="3" borderId="6" xfId="0" applyFont="1" applyFill="1" applyBorder="1" applyProtection="1">
      <protection hidden="1"/>
    </xf>
    <xf numFmtId="0" fontId="16" fillId="3" borderId="7" xfId="0" applyFont="1" applyFill="1" applyBorder="1" applyProtection="1">
      <protection hidden="1"/>
    </xf>
    <xf numFmtId="0" fontId="15" fillId="3" borderId="7" xfId="0" applyFont="1" applyFill="1" applyBorder="1" applyProtection="1">
      <protection hidden="1"/>
    </xf>
    <xf numFmtId="164" fontId="15" fillId="3" borderId="7" xfId="0" applyNumberFormat="1" applyFont="1" applyFill="1" applyBorder="1" applyAlignment="1" applyProtection="1">
      <alignment horizontal="center"/>
      <protection hidden="1"/>
    </xf>
    <xf numFmtId="164" fontId="18" fillId="3" borderId="7" xfId="0" applyNumberFormat="1" applyFont="1" applyFill="1" applyBorder="1" applyAlignment="1" applyProtection="1">
      <alignment horizontal="center"/>
      <protection hidden="1"/>
    </xf>
    <xf numFmtId="0" fontId="20" fillId="3" borderId="0" xfId="0" applyFont="1" applyFill="1" applyProtection="1">
      <protection hidden="1"/>
    </xf>
    <xf numFmtId="0" fontId="5" fillId="3" borderId="9" xfId="0" applyFont="1" applyFill="1" applyBorder="1" applyProtection="1">
      <protection hidden="1"/>
    </xf>
    <xf numFmtId="0" fontId="5" fillId="3" borderId="10" xfId="0" applyFont="1" applyFill="1" applyBorder="1" applyProtection="1">
      <protection hidden="1"/>
    </xf>
    <xf numFmtId="0" fontId="6" fillId="3" borderId="10" xfId="0" applyFont="1" applyFill="1" applyBorder="1" applyProtection="1">
      <protection hidden="1"/>
    </xf>
    <xf numFmtId="0" fontId="5" fillId="3" borderId="11" xfId="0" applyFont="1" applyFill="1" applyBorder="1" applyProtection="1">
      <protection hidden="1"/>
    </xf>
    <xf numFmtId="0" fontId="2" fillId="0" borderId="1" xfId="1" applyFont="1" applyBorder="1" applyProtection="1">
      <protection hidden="1"/>
    </xf>
    <xf numFmtId="0" fontId="2" fillId="0" borderId="0" xfId="1" applyFont="1" applyProtection="1">
      <protection hidden="1"/>
    </xf>
    <xf numFmtId="0" fontId="2" fillId="0" borderId="2" xfId="1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0" fillId="0" borderId="0" xfId="0" applyProtection="1">
      <protection hidden="1"/>
    </xf>
    <xf numFmtId="0" fontId="0" fillId="3" borderId="1" xfId="0" applyFill="1" applyBorder="1" applyProtection="1">
      <protection hidden="1"/>
    </xf>
    <xf numFmtId="0" fontId="17" fillId="4" borderId="0" xfId="0" applyFont="1" applyFill="1" applyAlignment="1" applyProtection="1">
      <alignment horizontal="center"/>
      <protection hidden="1"/>
    </xf>
    <xf numFmtId="0" fontId="21" fillId="4" borderId="0" xfId="0" applyFont="1" applyFill="1" applyAlignment="1" applyProtection="1">
      <alignment horizontal="left"/>
      <protection hidden="1"/>
    </xf>
    <xf numFmtId="2" fontId="21" fillId="0" borderId="9" xfId="0" applyNumberFormat="1" applyFont="1" applyBorder="1" applyProtection="1">
      <protection hidden="1"/>
    </xf>
    <xf numFmtId="1" fontId="21" fillId="0" borderId="11" xfId="0" applyNumberFormat="1" applyFont="1" applyBorder="1" applyProtection="1">
      <protection hidden="1"/>
    </xf>
    <xf numFmtId="2" fontId="21" fillId="0" borderId="10" xfId="0" applyNumberFormat="1" applyFont="1" applyBorder="1" applyProtection="1">
      <protection hidden="1"/>
    </xf>
    <xf numFmtId="1" fontId="21" fillId="0" borderId="10" xfId="0" applyNumberFormat="1" applyFont="1" applyBorder="1" applyProtection="1">
      <protection hidden="1"/>
    </xf>
    <xf numFmtId="0" fontId="17" fillId="4" borderId="0" xfId="0" applyFont="1" applyFill="1" applyAlignment="1" applyProtection="1">
      <alignment horizontal="center" wrapText="1"/>
      <protection hidden="1"/>
    </xf>
    <xf numFmtId="2" fontId="21" fillId="0" borderId="1" xfId="0" applyNumberFormat="1" applyFont="1" applyBorder="1" applyProtection="1">
      <protection hidden="1"/>
    </xf>
    <xf numFmtId="1" fontId="21" fillId="0" borderId="2" xfId="0" applyNumberFormat="1" applyFont="1" applyBorder="1" applyProtection="1">
      <protection hidden="1"/>
    </xf>
    <xf numFmtId="2" fontId="21" fillId="0" borderId="0" xfId="0" applyNumberFormat="1" applyFont="1" applyProtection="1">
      <protection hidden="1"/>
    </xf>
    <xf numFmtId="1" fontId="21" fillId="0" borderId="0" xfId="0" applyNumberFormat="1" applyFont="1" applyProtection="1">
      <protection hidden="1"/>
    </xf>
    <xf numFmtId="0" fontId="21" fillId="4" borderId="0" xfId="0" applyFont="1" applyFill="1" applyAlignment="1" applyProtection="1">
      <alignment horizontal="center"/>
      <protection hidden="1"/>
    </xf>
    <xf numFmtId="1" fontId="17" fillId="4" borderId="0" xfId="0" applyNumberFormat="1" applyFont="1" applyFill="1" applyAlignment="1" applyProtection="1">
      <alignment horizontal="left"/>
      <protection hidden="1"/>
    </xf>
    <xf numFmtId="2" fontId="21" fillId="0" borderId="2" xfId="0" applyNumberFormat="1" applyFont="1" applyBorder="1" applyProtection="1">
      <protection hidden="1"/>
    </xf>
    <xf numFmtId="0" fontId="21" fillId="0" borderId="0" xfId="0" applyFont="1" applyProtection="1">
      <protection hidden="1"/>
    </xf>
    <xf numFmtId="0" fontId="21" fillId="0" borderId="2" xfId="0" applyFont="1" applyBorder="1" applyProtection="1">
      <protection hidden="1"/>
    </xf>
    <xf numFmtId="2" fontId="21" fillId="0" borderId="6" xfId="0" applyNumberFormat="1" applyFont="1" applyBorder="1" applyProtection="1">
      <protection hidden="1"/>
    </xf>
    <xf numFmtId="2" fontId="21" fillId="0" borderId="8" xfId="0" applyNumberFormat="1" applyFont="1" applyBorder="1" applyProtection="1">
      <protection hidden="1"/>
    </xf>
    <xf numFmtId="0" fontId="21" fillId="0" borderId="7" xfId="0" applyFont="1" applyBorder="1" applyProtection="1">
      <protection hidden="1"/>
    </xf>
    <xf numFmtId="0" fontId="21" fillId="0" borderId="8" xfId="0" applyFont="1" applyBorder="1" applyProtection="1">
      <protection hidden="1"/>
    </xf>
    <xf numFmtId="0" fontId="21" fillId="4" borderId="13" xfId="0" applyFont="1" applyFill="1" applyBorder="1" applyProtection="1">
      <protection hidden="1"/>
    </xf>
    <xf numFmtId="0" fontId="21" fillId="4" borderId="0" xfId="0" applyFont="1" applyFill="1" applyProtection="1">
      <protection hidden="1"/>
    </xf>
    <xf numFmtId="2" fontId="22" fillId="0" borderId="9" xfId="0" applyNumberFormat="1" applyFont="1" applyBorder="1" applyAlignment="1" applyProtection="1">
      <alignment horizontal="center"/>
      <protection hidden="1"/>
    </xf>
    <xf numFmtId="2" fontId="22" fillId="0" borderId="11" xfId="0" applyNumberFormat="1" applyFont="1" applyBorder="1" applyAlignment="1" applyProtection="1">
      <alignment horizontal="center"/>
      <protection hidden="1"/>
    </xf>
    <xf numFmtId="2" fontId="22" fillId="0" borderId="1" xfId="0" applyNumberFormat="1" applyFont="1" applyBorder="1" applyAlignment="1" applyProtection="1">
      <alignment horizontal="center"/>
      <protection hidden="1"/>
    </xf>
    <xf numFmtId="2" fontId="22" fillId="0" borderId="2" xfId="0" applyNumberFormat="1" applyFont="1" applyBorder="1" applyAlignment="1" applyProtection="1">
      <alignment horizontal="center"/>
      <protection hidden="1"/>
    </xf>
    <xf numFmtId="2" fontId="22" fillId="0" borderId="10" xfId="0" applyNumberFormat="1" applyFont="1" applyBorder="1" applyAlignment="1" applyProtection="1">
      <alignment horizontal="center"/>
      <protection hidden="1"/>
    </xf>
    <xf numFmtId="2" fontId="22" fillId="0" borderId="0" xfId="0" applyNumberFormat="1" applyFont="1" applyAlignment="1" applyProtection="1">
      <alignment horizontal="center"/>
      <protection hidden="1"/>
    </xf>
    <xf numFmtId="2" fontId="22" fillId="0" borderId="6" xfId="0" applyNumberFormat="1" applyFont="1" applyBorder="1" applyAlignment="1" applyProtection="1">
      <alignment horizontal="center"/>
      <protection hidden="1"/>
    </xf>
    <xf numFmtId="2" fontId="22" fillId="0" borderId="8" xfId="0" applyNumberFormat="1" applyFont="1" applyBorder="1" applyAlignment="1" applyProtection="1">
      <alignment horizontal="center"/>
      <protection hidden="1"/>
    </xf>
    <xf numFmtId="2" fontId="22" fillId="0" borderId="7" xfId="0" applyNumberFormat="1" applyFont="1" applyBorder="1" applyAlignment="1" applyProtection="1">
      <alignment horizontal="center"/>
      <protection hidden="1"/>
    </xf>
    <xf numFmtId="0" fontId="21" fillId="5" borderId="10" xfId="0" applyFont="1" applyFill="1" applyBorder="1" applyAlignment="1" applyProtection="1">
      <alignment horizontal="left"/>
      <protection hidden="1"/>
    </xf>
    <xf numFmtId="0" fontId="21" fillId="0" borderId="9" xfId="0" applyFont="1" applyBorder="1"/>
    <xf numFmtId="0" fontId="21" fillId="0" borderId="11" xfId="0" applyFont="1" applyBorder="1"/>
    <xf numFmtId="0" fontId="21" fillId="5" borderId="0" xfId="0" applyFont="1" applyFill="1" applyAlignment="1" applyProtection="1">
      <alignment horizontal="left"/>
      <protection hidden="1"/>
    </xf>
    <xf numFmtId="0" fontId="21" fillId="0" borderId="2" xfId="0" applyFont="1" applyBorder="1"/>
    <xf numFmtId="2" fontId="21" fillId="0" borderId="0" xfId="0" applyNumberFormat="1" applyFont="1" applyAlignment="1" applyProtection="1">
      <alignment horizontal="right"/>
      <protection hidden="1"/>
    </xf>
    <xf numFmtId="1" fontId="21" fillId="0" borderId="2" xfId="0" applyNumberFormat="1" applyFont="1" applyBorder="1" applyAlignment="1" applyProtection="1">
      <alignment horizontal="right"/>
      <protection hidden="1"/>
    </xf>
    <xf numFmtId="2" fontId="21" fillId="0" borderId="1" xfId="0" applyNumberFormat="1" applyFont="1" applyBorder="1" applyAlignment="1" applyProtection="1">
      <alignment horizontal="right"/>
      <protection hidden="1"/>
    </xf>
    <xf numFmtId="1" fontId="21" fillId="0" borderId="0" xfId="0" applyNumberFormat="1" applyFont="1" applyAlignment="1" applyProtection="1">
      <alignment horizontal="right"/>
      <protection hidden="1"/>
    </xf>
    <xf numFmtId="1" fontId="17" fillId="5" borderId="2" xfId="0" applyNumberFormat="1" applyFont="1" applyFill="1" applyBorder="1" applyAlignment="1" applyProtection="1">
      <alignment horizontal="left"/>
      <protection hidden="1"/>
    </xf>
    <xf numFmtId="0" fontId="21" fillId="5" borderId="0" xfId="0" applyFont="1" applyFill="1" applyAlignment="1" applyProtection="1">
      <alignment horizontal="center"/>
      <protection hidden="1"/>
    </xf>
    <xf numFmtId="2" fontId="21" fillId="0" borderId="2" xfId="0" applyNumberFormat="1" applyFont="1" applyBorder="1" applyAlignment="1" applyProtection="1">
      <alignment horizontal="right"/>
      <protection hidden="1"/>
    </xf>
    <xf numFmtId="2" fontId="21" fillId="0" borderId="6" xfId="0" applyNumberFormat="1" applyFont="1" applyBorder="1" applyAlignment="1" applyProtection="1">
      <alignment horizontal="right"/>
      <protection hidden="1"/>
    </xf>
    <xf numFmtId="2" fontId="21" fillId="0" borderId="8" xfId="0" applyNumberFormat="1" applyFont="1" applyBorder="1" applyAlignment="1" applyProtection="1">
      <alignment horizontal="right"/>
      <protection hidden="1"/>
    </xf>
    <xf numFmtId="0" fontId="21" fillId="5" borderId="13" xfId="0" applyFont="1" applyFill="1" applyBorder="1" applyProtection="1">
      <protection hidden="1"/>
    </xf>
    <xf numFmtId="0" fontId="21" fillId="5" borderId="0" xfId="0" applyFont="1" applyFill="1" applyProtection="1">
      <protection hidden="1"/>
    </xf>
    <xf numFmtId="0" fontId="17" fillId="5" borderId="2" xfId="0" applyFont="1" applyFill="1" applyBorder="1" applyAlignment="1" applyProtection="1">
      <alignment horizontal="center"/>
      <protection hidden="1"/>
    </xf>
    <xf numFmtId="0" fontId="21" fillId="5" borderId="14" xfId="0" applyFont="1" applyFill="1" applyBorder="1" applyProtection="1">
      <protection hidden="1"/>
    </xf>
    <xf numFmtId="0" fontId="21" fillId="5" borderId="7" xfId="0" applyFont="1" applyFill="1" applyBorder="1" applyProtection="1">
      <protection hidden="1"/>
    </xf>
    <xf numFmtId="0" fontId="17" fillId="5" borderId="8" xfId="0" applyFont="1" applyFill="1" applyBorder="1" applyAlignment="1" applyProtection="1">
      <alignment horizontal="center"/>
      <protection hidden="1"/>
    </xf>
    <xf numFmtId="0" fontId="21" fillId="6" borderId="0" xfId="0" applyFont="1" applyFill="1" applyAlignment="1" applyProtection="1">
      <alignment horizontal="left"/>
      <protection hidden="1"/>
    </xf>
    <xf numFmtId="2" fontId="17" fillId="0" borderId="9" xfId="0" applyNumberFormat="1" applyFont="1" applyBorder="1" applyAlignment="1" applyProtection="1">
      <alignment horizontal="right"/>
      <protection hidden="1"/>
    </xf>
    <xf numFmtId="1" fontId="17" fillId="0" borderId="0" xfId="0" applyNumberFormat="1" applyFont="1" applyAlignment="1" applyProtection="1">
      <alignment horizontal="right"/>
      <protection hidden="1"/>
    </xf>
    <xf numFmtId="1" fontId="17" fillId="0" borderId="11" xfId="0" applyNumberFormat="1" applyFont="1" applyBorder="1" applyAlignment="1" applyProtection="1">
      <alignment horizontal="right"/>
      <protection hidden="1"/>
    </xf>
    <xf numFmtId="2" fontId="17" fillId="0" borderId="0" xfId="0" applyNumberFormat="1" applyFont="1" applyAlignment="1" applyProtection="1">
      <alignment horizontal="right"/>
      <protection hidden="1"/>
    </xf>
    <xf numFmtId="2" fontId="17" fillId="0" borderId="1" xfId="0" applyNumberFormat="1" applyFont="1" applyBorder="1" applyAlignment="1" applyProtection="1">
      <alignment horizontal="right"/>
      <protection hidden="1"/>
    </xf>
    <xf numFmtId="1" fontId="17" fillId="0" borderId="2" xfId="0" applyNumberFormat="1" applyFont="1" applyBorder="1" applyAlignment="1" applyProtection="1">
      <alignment horizontal="right"/>
      <protection hidden="1"/>
    </xf>
    <xf numFmtId="1" fontId="17" fillId="6" borderId="2" xfId="0" applyNumberFormat="1" applyFont="1" applyFill="1" applyBorder="1" applyAlignment="1" applyProtection="1">
      <alignment horizontal="left"/>
      <protection hidden="1"/>
    </xf>
    <xf numFmtId="0" fontId="21" fillId="6" borderId="0" xfId="0" applyFont="1" applyFill="1" applyAlignment="1" applyProtection="1">
      <alignment horizontal="center"/>
      <protection hidden="1"/>
    </xf>
    <xf numFmtId="2" fontId="17" fillId="0" borderId="2" xfId="0" applyNumberFormat="1" applyFont="1" applyBorder="1" applyAlignment="1" applyProtection="1">
      <alignment horizontal="right"/>
      <protection hidden="1"/>
    </xf>
    <xf numFmtId="2" fontId="17" fillId="0" borderId="6" xfId="0" applyNumberFormat="1" applyFont="1" applyBorder="1" applyAlignment="1" applyProtection="1">
      <alignment horizontal="right"/>
      <protection hidden="1"/>
    </xf>
    <xf numFmtId="1" fontId="17" fillId="0" borderId="8" xfId="0" applyNumberFormat="1" applyFont="1" applyBorder="1" applyAlignment="1" applyProtection="1">
      <alignment horizontal="right"/>
      <protection hidden="1"/>
    </xf>
    <xf numFmtId="2" fontId="17" fillId="0" borderId="8" xfId="0" applyNumberFormat="1" applyFont="1" applyBorder="1" applyAlignment="1" applyProtection="1">
      <alignment horizontal="right"/>
      <protection hidden="1"/>
    </xf>
    <xf numFmtId="0" fontId="21" fillId="6" borderId="13" xfId="0" applyFont="1" applyFill="1" applyBorder="1" applyProtection="1">
      <protection hidden="1"/>
    </xf>
    <xf numFmtId="0" fontId="21" fillId="6" borderId="0" xfId="0" applyFont="1" applyFill="1" applyProtection="1">
      <protection hidden="1"/>
    </xf>
    <xf numFmtId="0" fontId="17" fillId="6" borderId="2" xfId="0" applyFont="1" applyFill="1" applyBorder="1" applyAlignment="1" applyProtection="1">
      <alignment horizontal="center"/>
      <protection hidden="1"/>
    </xf>
    <xf numFmtId="0" fontId="21" fillId="6" borderId="14" xfId="0" applyFont="1" applyFill="1" applyBorder="1" applyProtection="1">
      <protection hidden="1"/>
    </xf>
    <xf numFmtId="0" fontId="21" fillId="6" borderId="7" xfId="0" applyFont="1" applyFill="1" applyBorder="1" applyProtection="1">
      <protection hidden="1"/>
    </xf>
    <xf numFmtId="0" fontId="17" fillId="6" borderId="8" xfId="0" applyFont="1" applyFill="1" applyBorder="1" applyAlignment="1" applyProtection="1">
      <alignment horizontal="center"/>
      <protection hidden="1"/>
    </xf>
    <xf numFmtId="0" fontId="21" fillId="7" borderId="0" xfId="0" applyFont="1" applyFill="1" applyAlignment="1" applyProtection="1">
      <alignment horizontal="left"/>
      <protection hidden="1"/>
    </xf>
    <xf numFmtId="1" fontId="17" fillId="7" borderId="2" xfId="0" applyNumberFormat="1" applyFont="1" applyFill="1" applyBorder="1" applyAlignment="1" applyProtection="1">
      <alignment horizontal="left"/>
      <protection hidden="1"/>
    </xf>
    <xf numFmtId="0" fontId="21" fillId="7" borderId="0" xfId="0" applyFont="1" applyFill="1" applyAlignment="1" applyProtection="1">
      <alignment horizontal="center"/>
      <protection hidden="1"/>
    </xf>
    <xf numFmtId="0" fontId="21" fillId="7" borderId="13" xfId="0" applyFont="1" applyFill="1" applyBorder="1" applyProtection="1">
      <protection hidden="1"/>
    </xf>
    <xf numFmtId="0" fontId="21" fillId="7" borderId="0" xfId="0" applyFont="1" applyFill="1" applyProtection="1">
      <protection hidden="1"/>
    </xf>
    <xf numFmtId="0" fontId="17" fillId="7" borderId="2" xfId="0" applyFont="1" applyFill="1" applyBorder="1" applyAlignment="1" applyProtection="1">
      <alignment horizontal="center"/>
      <protection hidden="1"/>
    </xf>
    <xf numFmtId="0" fontId="21" fillId="7" borderId="14" xfId="0" applyFont="1" applyFill="1" applyBorder="1" applyProtection="1">
      <protection hidden="1"/>
    </xf>
    <xf numFmtId="0" fontId="21" fillId="7" borderId="7" xfId="0" applyFont="1" applyFill="1" applyBorder="1" applyProtection="1">
      <protection hidden="1"/>
    </xf>
    <xf numFmtId="0" fontId="17" fillId="7" borderId="8" xfId="0" applyFont="1" applyFill="1" applyBorder="1" applyAlignment="1" applyProtection="1">
      <alignment horizontal="center"/>
      <protection hidden="1"/>
    </xf>
    <xf numFmtId="0" fontId="17" fillId="3" borderId="0" xfId="0" applyFont="1" applyFill="1" applyProtection="1">
      <protection hidden="1"/>
    </xf>
    <xf numFmtId="164" fontId="17" fillId="3" borderId="0" xfId="0" applyNumberFormat="1" applyFont="1" applyFill="1" applyAlignment="1" applyProtection="1">
      <alignment horizontal="center"/>
      <protection hidden="1"/>
    </xf>
    <xf numFmtId="1" fontId="21" fillId="0" borderId="8" xfId="0" applyNumberFormat="1" applyFont="1" applyBorder="1" applyProtection="1">
      <protection hidden="1"/>
    </xf>
    <xf numFmtId="2" fontId="17" fillId="0" borderId="9" xfId="0" applyNumberFormat="1" applyFont="1" applyBorder="1" applyProtection="1">
      <protection hidden="1"/>
    </xf>
    <xf numFmtId="1" fontId="17" fillId="0" borderId="0" xfId="0" applyNumberFormat="1" applyFont="1" applyProtection="1">
      <protection hidden="1"/>
    </xf>
    <xf numFmtId="1" fontId="17" fillId="0" borderId="11" xfId="0" applyNumberFormat="1" applyFont="1" applyBorder="1" applyProtection="1">
      <protection hidden="1"/>
    </xf>
    <xf numFmtId="2" fontId="17" fillId="0" borderId="0" xfId="0" applyNumberFormat="1" applyFont="1" applyProtection="1">
      <protection hidden="1"/>
    </xf>
    <xf numFmtId="2" fontId="17" fillId="0" borderId="1" xfId="0" applyNumberFormat="1" applyFont="1" applyBorder="1" applyProtection="1">
      <protection hidden="1"/>
    </xf>
    <xf numFmtId="1" fontId="17" fillId="0" borderId="2" xfId="0" applyNumberFormat="1" applyFont="1" applyBorder="1" applyProtection="1">
      <protection hidden="1"/>
    </xf>
    <xf numFmtId="2" fontId="17" fillId="0" borderId="2" xfId="0" applyNumberFormat="1" applyFont="1" applyBorder="1" applyProtection="1">
      <protection hidden="1"/>
    </xf>
    <xf numFmtId="2" fontId="17" fillId="0" borderId="6" xfId="0" applyNumberFormat="1" applyFont="1" applyBorder="1" applyProtection="1">
      <protection hidden="1"/>
    </xf>
    <xf numFmtId="2" fontId="17" fillId="0" borderId="8" xfId="0" applyNumberFormat="1" applyFont="1" applyBorder="1" applyProtection="1">
      <protection hidden="1"/>
    </xf>
    <xf numFmtId="1" fontId="17" fillId="0" borderId="8" xfId="0" applyNumberFormat="1" applyFont="1" applyBorder="1" applyProtection="1">
      <protection hidden="1"/>
    </xf>
    <xf numFmtId="0" fontId="21" fillId="3" borderId="6" xfId="0" applyFont="1" applyFill="1" applyBorder="1" applyProtection="1">
      <protection hidden="1"/>
    </xf>
    <xf numFmtId="0" fontId="21" fillId="3" borderId="7" xfId="0" applyFont="1" applyFill="1" applyBorder="1" applyProtection="1">
      <protection hidden="1"/>
    </xf>
    <xf numFmtId="2" fontId="21" fillId="0" borderId="9" xfId="0" applyNumberFormat="1" applyFont="1" applyBorder="1" applyAlignment="1" applyProtection="1">
      <alignment horizontal="right"/>
      <protection hidden="1"/>
    </xf>
    <xf numFmtId="1" fontId="21" fillId="0" borderId="11" xfId="0" applyNumberFormat="1" applyFont="1" applyBorder="1" applyAlignment="1" applyProtection="1">
      <alignment horizontal="right"/>
      <protection hidden="1"/>
    </xf>
    <xf numFmtId="1" fontId="21" fillId="0" borderId="8" xfId="0" applyNumberFormat="1" applyFont="1" applyBorder="1" applyAlignment="1" applyProtection="1">
      <alignment horizontal="right"/>
      <protection hidden="1"/>
    </xf>
    <xf numFmtId="2" fontId="17" fillId="0" borderId="10" xfId="0" applyNumberFormat="1" applyFont="1" applyBorder="1" applyAlignment="1" applyProtection="1">
      <alignment horizontal="right"/>
      <protection hidden="1"/>
    </xf>
    <xf numFmtId="0" fontId="17" fillId="3" borderId="1" xfId="0" applyFont="1" applyFill="1" applyBorder="1" applyProtection="1">
      <protection hidden="1"/>
    </xf>
    <xf numFmtId="2" fontId="21" fillId="0" borderId="11" xfId="0" applyNumberFormat="1" applyFont="1" applyBorder="1" applyAlignment="1" applyProtection="1">
      <alignment horizontal="right"/>
      <protection hidden="1"/>
    </xf>
    <xf numFmtId="2" fontId="21" fillId="0" borderId="10" xfId="0" applyNumberFormat="1" applyFont="1" applyBorder="1" applyAlignment="1" applyProtection="1">
      <alignment horizontal="right"/>
      <protection hidden="1"/>
    </xf>
    <xf numFmtId="2" fontId="21" fillId="0" borderId="11" xfId="0" applyNumberFormat="1" applyFont="1" applyBorder="1" applyProtection="1">
      <protection hidden="1"/>
    </xf>
    <xf numFmtId="2" fontId="21" fillId="0" borderId="7" xfId="0" applyNumberFormat="1" applyFont="1" applyBorder="1" applyProtection="1">
      <protection hidden="1"/>
    </xf>
    <xf numFmtId="2" fontId="17" fillId="0" borderId="11" xfId="0" applyNumberFormat="1" applyFont="1" applyBorder="1" applyAlignment="1" applyProtection="1">
      <alignment horizontal="right"/>
      <protection hidden="1"/>
    </xf>
    <xf numFmtId="0" fontId="7" fillId="3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6" fillId="3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/>
    </xf>
    <xf numFmtId="1" fontId="17" fillId="4" borderId="0" xfId="0" quotePrefix="1" applyNumberFormat="1" applyFont="1" applyFill="1" applyAlignment="1" applyProtection="1">
      <alignment horizontal="right"/>
      <protection hidden="1"/>
    </xf>
    <xf numFmtId="1" fontId="17" fillId="5" borderId="11" xfId="0" quotePrefix="1" applyNumberFormat="1" applyFont="1" applyFill="1" applyBorder="1" applyAlignment="1" applyProtection="1">
      <alignment horizontal="right"/>
      <protection hidden="1"/>
    </xf>
    <xf numFmtId="1" fontId="17" fillId="5" borderId="2" xfId="0" quotePrefix="1" applyNumberFormat="1" applyFont="1" applyFill="1" applyBorder="1" applyAlignment="1" applyProtection="1">
      <alignment horizontal="right"/>
      <protection hidden="1"/>
    </xf>
    <xf numFmtId="0" fontId="17" fillId="6" borderId="0" xfId="0" quotePrefix="1" applyFont="1" applyFill="1" applyAlignment="1" applyProtection="1">
      <alignment horizontal="right"/>
      <protection hidden="1"/>
    </xf>
    <xf numFmtId="1" fontId="17" fillId="6" borderId="2" xfId="0" quotePrefix="1" applyNumberFormat="1" applyFont="1" applyFill="1" applyBorder="1" applyAlignment="1" applyProtection="1">
      <alignment horizontal="right"/>
      <protection hidden="1"/>
    </xf>
    <xf numFmtId="1" fontId="17" fillId="6" borderId="2" xfId="0" applyNumberFormat="1" applyFont="1" applyFill="1" applyBorder="1" applyAlignment="1" applyProtection="1">
      <alignment horizontal="right"/>
      <protection hidden="1"/>
    </xf>
    <xf numFmtId="0" fontId="17" fillId="7" borderId="0" xfId="0" quotePrefix="1" applyFont="1" applyFill="1" applyAlignment="1" applyProtection="1">
      <alignment horizontal="right"/>
      <protection hidden="1"/>
    </xf>
    <xf numFmtId="1" fontId="17" fillId="7" borderId="2" xfId="0" quotePrefix="1" applyNumberFormat="1" applyFont="1" applyFill="1" applyBorder="1" applyAlignment="1" applyProtection="1">
      <alignment horizontal="right"/>
      <protection hidden="1"/>
    </xf>
    <xf numFmtId="1" fontId="17" fillId="7" borderId="2" xfId="0" applyNumberFormat="1" applyFont="1" applyFill="1" applyBorder="1" applyAlignment="1" applyProtection="1">
      <alignment horizontal="right"/>
      <protection hidden="1"/>
    </xf>
    <xf numFmtId="1" fontId="17" fillId="5" borderId="2" xfId="0" applyNumberFormat="1" applyFont="1" applyFill="1" applyBorder="1" applyAlignment="1" applyProtection="1">
      <alignment horizontal="right"/>
      <protection hidden="1"/>
    </xf>
    <xf numFmtId="1" fontId="17" fillId="4" borderId="0" xfId="0" applyNumberFormat="1" applyFont="1" applyFill="1" applyAlignment="1" applyProtection="1">
      <alignment horizontal="right"/>
      <protection hidden="1"/>
    </xf>
    <xf numFmtId="0" fontId="17" fillId="4" borderId="6" xfId="0" applyFont="1" applyFill="1" applyBorder="1" applyAlignment="1" applyProtection="1">
      <alignment horizontal="center" wrapText="1"/>
      <protection hidden="1"/>
    </xf>
    <xf numFmtId="0" fontId="21" fillId="4" borderId="7" xfId="0" applyFont="1" applyFill="1" applyBorder="1" applyAlignment="1" applyProtection="1">
      <alignment horizontal="center"/>
      <protection hidden="1"/>
    </xf>
    <xf numFmtId="1" fontId="17" fillId="4" borderId="8" xfId="0" applyNumberFormat="1" applyFont="1" applyFill="1" applyBorder="1" applyAlignment="1" applyProtection="1">
      <alignment horizontal="left"/>
      <protection hidden="1"/>
    </xf>
    <xf numFmtId="0" fontId="17" fillId="5" borderId="6" xfId="0" applyFont="1" applyFill="1" applyBorder="1" applyAlignment="1" applyProtection="1">
      <alignment horizontal="center" wrapText="1"/>
      <protection hidden="1"/>
    </xf>
    <xf numFmtId="0" fontId="21" fillId="5" borderId="7" xfId="0" applyFont="1" applyFill="1" applyBorder="1" applyAlignment="1" applyProtection="1">
      <alignment horizontal="center"/>
      <protection hidden="1"/>
    </xf>
    <xf numFmtId="1" fontId="17" fillId="5" borderId="8" xfId="0" applyNumberFormat="1" applyFont="1" applyFill="1" applyBorder="1" applyAlignment="1" applyProtection="1">
      <alignment horizontal="left"/>
      <protection hidden="1"/>
    </xf>
    <xf numFmtId="0" fontId="17" fillId="6" borderId="6" xfId="0" applyFont="1" applyFill="1" applyBorder="1" applyAlignment="1" applyProtection="1">
      <alignment horizontal="center" wrapText="1"/>
      <protection hidden="1"/>
    </xf>
    <xf numFmtId="0" fontId="21" fillId="6" borderId="7" xfId="0" applyFont="1" applyFill="1" applyBorder="1" applyAlignment="1" applyProtection="1">
      <alignment horizontal="center"/>
      <protection hidden="1"/>
    </xf>
    <xf numFmtId="1" fontId="17" fillId="6" borderId="8" xfId="0" applyNumberFormat="1" applyFont="1" applyFill="1" applyBorder="1" applyAlignment="1" applyProtection="1">
      <alignment horizontal="left"/>
      <protection hidden="1"/>
    </xf>
    <xf numFmtId="0" fontId="17" fillId="7" borderId="6" xfId="0" applyFont="1" applyFill="1" applyBorder="1" applyAlignment="1" applyProtection="1">
      <alignment horizontal="center" wrapText="1"/>
      <protection hidden="1"/>
    </xf>
    <xf numFmtId="0" fontId="21" fillId="7" borderId="7" xfId="0" applyFont="1" applyFill="1" applyBorder="1" applyAlignment="1" applyProtection="1">
      <alignment horizontal="center"/>
      <protection hidden="1"/>
    </xf>
    <xf numFmtId="1" fontId="17" fillId="7" borderId="8" xfId="0" applyNumberFormat="1" applyFont="1" applyFill="1" applyBorder="1" applyAlignment="1" applyProtection="1">
      <alignment horizontal="left"/>
      <protection hidden="1"/>
    </xf>
    <xf numFmtId="0" fontId="6" fillId="3" borderId="0" xfId="0" applyFont="1" applyFill="1" applyAlignment="1" applyProtection="1">
      <alignment vertical="top"/>
      <protection hidden="1"/>
    </xf>
    <xf numFmtId="2" fontId="21" fillId="0" borderId="1" xfId="0" applyNumberFormat="1" applyFont="1" applyBorder="1"/>
    <xf numFmtId="0" fontId="14" fillId="4" borderId="13" xfId="0" applyFont="1" applyFill="1" applyBorder="1" applyAlignment="1" applyProtection="1">
      <alignment horizontal="center" wrapText="1"/>
      <protection hidden="1"/>
    </xf>
    <xf numFmtId="0" fontId="14" fillId="5" borderId="13" xfId="0" applyFont="1" applyFill="1" applyBorder="1" applyAlignment="1" applyProtection="1">
      <alignment horizontal="center" wrapText="1"/>
      <protection hidden="1"/>
    </xf>
    <xf numFmtId="0" fontId="19" fillId="6" borderId="2" xfId="0" applyFont="1" applyFill="1" applyBorder="1" applyAlignment="1" applyProtection="1">
      <alignment horizontal="center"/>
      <protection hidden="1"/>
    </xf>
    <xf numFmtId="0" fontId="19" fillId="7" borderId="2" xfId="0" applyFont="1" applyFill="1" applyBorder="1" applyAlignment="1" applyProtection="1">
      <alignment horizontal="center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5" fillId="3" borderId="5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center"/>
      <protection locked="0" hidden="1"/>
    </xf>
    <xf numFmtId="0" fontId="9" fillId="3" borderId="7" xfId="0" applyFont="1" applyFill="1" applyBorder="1" applyAlignment="1" applyProtection="1">
      <alignment horizontal="center"/>
      <protection locked="0" hidden="1"/>
    </xf>
  </cellXfs>
  <cellStyles count="2">
    <cellStyle name="Normal" xfId="0" builtinId="0"/>
    <cellStyle name="Normal 8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D"/>
      <color rgb="FFFFFFE5"/>
      <color rgb="FFBC0000"/>
      <color rgb="FFFFFFC1"/>
      <color rgb="FF0000CC"/>
      <color rgb="FF000099"/>
      <color rgb="FF0000FF"/>
      <color rgb="FFCC99FF"/>
      <color rgb="FFCC66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6363031388145"/>
        </c:manualLayout>
      </c:layout>
      <c:lineChart>
        <c:grouping val="standard"/>
        <c:varyColors val="0"/>
        <c:ser>
          <c:idx val="0"/>
          <c:order val="0"/>
          <c:tx>
            <c:strRef>
              <c:f>'Center Zone'!$A$25:$A$26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Zone'!$E$35,'Center Zone'!$G$35,'Center Zone'!$I$35,'Center Zone'!$K$35,'Center Zone'!$M$35,'Center Zone'!$O$35)</c:f>
                <c:numCache>
                  <c:formatCode>General</c:formatCode>
                  <c:ptCount val="6"/>
                  <c:pt idx="0">
                    <c:v>0.77482265700886954</c:v>
                  </c:pt>
                  <c:pt idx="1">
                    <c:v>1.6375636680653474</c:v>
                  </c:pt>
                  <c:pt idx="2">
                    <c:v>1.8612410161586395</c:v>
                  </c:pt>
                  <c:pt idx="3">
                    <c:v>2.8097844998637855</c:v>
                  </c:pt>
                  <c:pt idx="4">
                    <c:v>2.024104228041161</c:v>
                  </c:pt>
                  <c:pt idx="5">
                    <c:v>2.5590973520304781</c:v>
                  </c:pt>
                </c:numCache>
              </c:numRef>
            </c:plus>
            <c:minus>
              <c:numRef>
                <c:f>('Center Zone'!$E$35,'Center Zone'!$G$35,'Center Zone'!$I$35,'Center Zone'!$K$35,'Center Zone'!$M$35,'Center Zone'!$O$35)</c:f>
                <c:numCache>
                  <c:formatCode>General</c:formatCode>
                  <c:ptCount val="6"/>
                  <c:pt idx="0">
                    <c:v>0.77482265700886954</c:v>
                  </c:pt>
                  <c:pt idx="1">
                    <c:v>1.6375636680653474</c:v>
                  </c:pt>
                  <c:pt idx="2">
                    <c:v>1.8612410161586395</c:v>
                  </c:pt>
                  <c:pt idx="3">
                    <c:v>2.8097844998637855</c:v>
                  </c:pt>
                  <c:pt idx="4">
                    <c:v>2.024104228041161</c:v>
                  </c:pt>
                  <c:pt idx="5">
                    <c:v>2.5590973520304781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Zone'!$E$34,'Center Zone'!$G$34,'Center Zone'!$I$34,'Center Zone'!$K$34,'Center Zone'!$M$34,'Center Zone'!$O$34)</c:f>
              <c:numCache>
                <c:formatCode>0.00</c:formatCode>
                <c:ptCount val="6"/>
                <c:pt idx="0">
                  <c:v>6.4875600000000002</c:v>
                </c:pt>
                <c:pt idx="1">
                  <c:v>8.7831237499999997</c:v>
                </c:pt>
                <c:pt idx="2">
                  <c:v>12.081837500000001</c:v>
                </c:pt>
                <c:pt idx="3">
                  <c:v>12.51386625</c:v>
                </c:pt>
                <c:pt idx="4">
                  <c:v>11.123397499999999</c:v>
                </c:pt>
                <c:pt idx="5">
                  <c:v>14.390888750000002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0-4B51-8389-0F2D96182DCA}"/>
            </c:ext>
          </c:extLst>
        </c:ser>
        <c:ser>
          <c:idx val="1"/>
          <c:order val="1"/>
          <c:tx>
            <c:strRef>
              <c:f>'Center Zone'!$A$37:$A$38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Zone'!$E$47,'Center Zone'!$G$47,'Center Zone'!$I$47,'Center Zone'!$K$47,'Center Zone'!$M$47,'Center Zone'!$O$47)</c:f>
                <c:numCache>
                  <c:formatCode>General</c:formatCode>
                  <c:ptCount val="6"/>
                  <c:pt idx="0">
                    <c:v>0.53530080630272558</c:v>
                  </c:pt>
                  <c:pt idx="1">
                    <c:v>0.97758135454830097</c:v>
                  </c:pt>
                  <c:pt idx="2">
                    <c:v>1.4870602359538552</c:v>
                  </c:pt>
                  <c:pt idx="3">
                    <c:v>3.0450408777861075</c:v>
                  </c:pt>
                  <c:pt idx="4">
                    <c:v>1.7234830524643754</c:v>
                  </c:pt>
                  <c:pt idx="5">
                    <c:v>2.2196084515118848</c:v>
                  </c:pt>
                </c:numCache>
              </c:numRef>
            </c:plus>
            <c:minus>
              <c:numRef>
                <c:f>('Center Zone'!$E$47,'Center Zone'!$G$47,'Center Zone'!$I$47,'Center Zone'!$K$47,'Center Zone'!$M$47,'Center Zone'!$O$47)</c:f>
                <c:numCache>
                  <c:formatCode>General</c:formatCode>
                  <c:ptCount val="6"/>
                  <c:pt idx="0">
                    <c:v>0.53530080630272558</c:v>
                  </c:pt>
                  <c:pt idx="1">
                    <c:v>0.97758135454830097</c:v>
                  </c:pt>
                  <c:pt idx="2">
                    <c:v>1.4870602359538552</c:v>
                  </c:pt>
                  <c:pt idx="3">
                    <c:v>3.0450408777861075</c:v>
                  </c:pt>
                  <c:pt idx="4">
                    <c:v>1.7234830524643754</c:v>
                  </c:pt>
                  <c:pt idx="5">
                    <c:v>2.2196084515118848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Zone'!$E$46,'Center Zone'!$G$46,'Center Zone'!$I$46,'Center Zone'!$K$46,'Center Zone'!$M$46,'Center Zone'!$O$46)</c:f>
              <c:numCache>
                <c:formatCode>0.00</c:formatCode>
                <c:ptCount val="6"/>
                <c:pt idx="0">
                  <c:v>3.4152437500000001</c:v>
                </c:pt>
                <c:pt idx="1">
                  <c:v>5.9554962499999995</c:v>
                </c:pt>
                <c:pt idx="2">
                  <c:v>7.8409512499999989</c:v>
                </c:pt>
                <c:pt idx="3">
                  <c:v>10.8524075</c:v>
                </c:pt>
                <c:pt idx="4">
                  <c:v>7.9063662499999996</c:v>
                </c:pt>
                <c:pt idx="5">
                  <c:v>9.3867687499999999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0-4B51-8389-0F2D9618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'Center Zone'!$A$49:$A$50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>
                          <a:alpha val="98000"/>
                        </a:schemeClr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('Center Zone'!$E$59,'Center Zone'!$G$59,'Center Zone'!$I$59,'Center Zone'!$K$59,'Center Zone'!$M$59,'Center Zone'!$O$59)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('Center Zone'!$E$59,'Center Zone'!$G$59,'Center Zone'!$I$59,'Center Zone'!$K$59,'Center Zone'!$M$59,'Center Zone'!$O$59)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('Center Zone'!$E$58,'Center Zone'!$G$58,'Center Zone'!$I$58,'Center Zone'!$K$58,'Center Zone'!$M$58,'Center Zone'!$O$58)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45-4D59-BBC1-C3A882678DC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'Center Zone'!$A$61:$A$62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Zone'!$E$71,'Center Zone'!$G$71,'Center Zone'!$I$71,'Center Zone'!$K$71,'Center Zone'!$M$71,'Center Zone'!$O$71)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Zone'!$E$71,'Center Zone'!$G$71,'Center Zone'!$I$71,'Center Zone'!$K$71,'Center Zone'!$M$71,'Center Zone'!$O$71)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('Center Zone'!$E$70,'Center Zone'!$G$70,'Center Zone'!$I$70,'Center Zone'!$K$70,'Center Zone'!$M$70,'Center Zone'!$O$70)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3C5-4E93-BAF5-D0857D7188EB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2758452378177694"/>
              <c:y val="0.89689857873972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295772012191436"/>
          <c:y val="0.14419881799312342"/>
          <c:w val="0.79275235868734328"/>
          <c:h val="0.11704498280861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80531502253550913"/>
          <c:h val="0.48161449005904539"/>
        </c:manualLayout>
      </c:layout>
      <c:lineChart>
        <c:grouping val="standard"/>
        <c:varyColors val="0"/>
        <c:ser>
          <c:idx val="0"/>
          <c:order val="0"/>
          <c:tx>
            <c:strRef>
              <c:f>'Center Zone'!$A$25:$A$26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Zone'!$F$35,'Center Zone'!$H$35,'Center Zone'!$J$35,'Center Zone'!$L$35,'Center Zone'!$N$35,'Center Zone'!$P$35)</c:f>
                <c:numCache>
                  <c:formatCode>General</c:formatCode>
                  <c:ptCount val="6"/>
                  <c:pt idx="0">
                    <c:v>1.6414007519711411</c:v>
                  </c:pt>
                  <c:pt idx="1">
                    <c:v>1.5555201243130403</c:v>
                  </c:pt>
                  <c:pt idx="2">
                    <c:v>1.7519122205668376</c:v>
                  </c:pt>
                  <c:pt idx="3">
                    <c:v>2.1459055697503824</c:v>
                  </c:pt>
                  <c:pt idx="4">
                    <c:v>1.6028713075513665</c:v>
                  </c:pt>
                  <c:pt idx="5">
                    <c:v>2.5266437365462844</c:v>
                  </c:pt>
                </c:numCache>
              </c:numRef>
            </c:plus>
            <c:minus>
              <c:numRef>
                <c:f>('Center Zone'!$F$35,'Center Zone'!$H$35,'Center Zone'!$J$35,'Center Zone'!$L$35,'Center Zone'!$N$35,'Center Zone'!$P$35)</c:f>
                <c:numCache>
                  <c:formatCode>General</c:formatCode>
                  <c:ptCount val="6"/>
                  <c:pt idx="0">
                    <c:v>1.6414007519711411</c:v>
                  </c:pt>
                  <c:pt idx="1">
                    <c:v>1.5555201243130403</c:v>
                  </c:pt>
                  <c:pt idx="2">
                    <c:v>1.7519122205668376</c:v>
                  </c:pt>
                  <c:pt idx="3">
                    <c:v>2.1459055697503824</c:v>
                  </c:pt>
                  <c:pt idx="4">
                    <c:v>1.6028713075513665</c:v>
                  </c:pt>
                  <c:pt idx="5">
                    <c:v>2.5266437365462844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Zone'!$F$34,'Center Zone'!$H$34,'Center Zone'!$J$34,'Center Zone'!$L$34,'Center Zone'!$N$34,'Center Zone'!$P$34)</c:f>
              <c:numCache>
                <c:formatCode>0.00</c:formatCode>
                <c:ptCount val="6"/>
                <c:pt idx="0">
                  <c:v>13.125</c:v>
                </c:pt>
                <c:pt idx="1">
                  <c:v>12.25</c:v>
                </c:pt>
                <c:pt idx="2">
                  <c:v>12.625</c:v>
                </c:pt>
                <c:pt idx="3">
                  <c:v>12.625</c:v>
                </c:pt>
                <c:pt idx="4">
                  <c:v>12.375</c:v>
                </c:pt>
                <c:pt idx="5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9-45A6-B22A-DA724D388B6C}"/>
            </c:ext>
          </c:extLst>
        </c:ser>
        <c:ser>
          <c:idx val="1"/>
          <c:order val="1"/>
          <c:tx>
            <c:strRef>
              <c:f>'Center Zone'!$A$37:$A$38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('Center Zone'!$F$47,'Center Zone'!$H$47,'Center Zone'!$J$47,'Center Zone'!$L$47,'Center Zone'!$N$47,'Center Zone'!$P$47)</c:f>
                <c:numCache>
                  <c:formatCode>General</c:formatCode>
                  <c:ptCount val="6"/>
                  <c:pt idx="0">
                    <c:v>0.83318451052058606</c:v>
                  </c:pt>
                  <c:pt idx="1">
                    <c:v>1.14564392373896</c:v>
                  </c:pt>
                  <c:pt idx="2">
                    <c:v>1.6663690210411721</c:v>
                  </c:pt>
                  <c:pt idx="3">
                    <c:v>1.1299494299683124</c:v>
                  </c:pt>
                  <c:pt idx="4">
                    <c:v>1.3684910877104233</c:v>
                  </c:pt>
                  <c:pt idx="5">
                    <c:v>1.7971952354392982</c:v>
                  </c:pt>
                </c:numCache>
              </c:numRef>
            </c:plus>
            <c:minus>
              <c:numRef>
                <c:f>('Center Zone'!$F$47,'Center Zone'!$H$47,'Center Zone'!$J$47,'Center Zone'!$L$47,'Center Zone'!$N$47,'Center Zone'!$P$47)</c:f>
                <c:numCache>
                  <c:formatCode>General</c:formatCode>
                  <c:ptCount val="6"/>
                  <c:pt idx="0">
                    <c:v>0.83318451052058606</c:v>
                  </c:pt>
                  <c:pt idx="1">
                    <c:v>1.14564392373896</c:v>
                  </c:pt>
                  <c:pt idx="2">
                    <c:v>1.6663690210411721</c:v>
                  </c:pt>
                  <c:pt idx="3">
                    <c:v>1.1299494299683124</c:v>
                  </c:pt>
                  <c:pt idx="4">
                    <c:v>1.3684910877104233</c:v>
                  </c:pt>
                  <c:pt idx="5">
                    <c:v>1.7971952354392982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('Center Zone'!$E$21,'Center Zone'!$G$21,'Center Zone'!$I$21,'Center Zone'!$K$21,'Center Zone'!$M$21,'Center Zone'!$O$21)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('Center Zone'!$F$46,'Center Zone'!$H$46,'Center Zone'!$J$46,'Center Zone'!$L$46,'Center Zone'!$N$46,'Center Zone'!$P$46)</c:f>
              <c:numCache>
                <c:formatCode>0.00</c:formatCode>
                <c:ptCount val="6"/>
                <c:pt idx="0">
                  <c:v>7.875</c:v>
                </c:pt>
                <c:pt idx="1">
                  <c:v>11.75</c:v>
                </c:pt>
                <c:pt idx="2">
                  <c:v>10.75</c:v>
                </c:pt>
                <c:pt idx="3">
                  <c:v>10.75</c:v>
                </c:pt>
                <c:pt idx="4">
                  <c:v>10.125</c:v>
                </c:pt>
                <c:pt idx="5">
                  <c:v>12.875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9-45A6-B22A-DA724D38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'Center Zone'!$A$49:$A$50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('Center Zone'!$F$59,'Center Zone'!$H$59,'Center Zone'!$J$59,'Center Zone'!$L$59,'Center Zone'!$N$59,'Center Zone'!$P$59)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('Center Zone'!$F$59,'Center Zone'!$H$59,'Center Zone'!$J$59,'Center Zone'!$L$59,'Center Zone'!$N$59,'Center Zone'!$P$59)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('Center Zone'!$F$58,'Center Zone'!$H$58,'Center Zone'!$J$58,'Center Zone'!$L$58,'Center Zone'!$N$58,'Center Zone'!$P$58)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02-4E07-8719-4B5ED91C346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'Center Zone'!$A$61:$A$62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Zone'!$F$71,'Center Zone'!$H$71,'Center Zone'!$J$71,'Center Zone'!$L$71,'Center Zone'!$N$71,'Center Zone'!$P$71)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('Center Zone'!$F$71,'Center Zone'!$H$71,'Center Zone'!$J$71,'Center Zone'!$L$71,'Center Zone'!$N$71,'Center Zone'!$P$71)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('Center Zone'!$F$70,'Center Zone'!$H$70,'Center Zone'!$J$70,'Center Zone'!$L$70,'Center Zone'!$N$70,'Center Zone'!$P$70)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17-4194-816F-AD92CBFD8D0A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2758452378177694"/>
              <c:y val="0.89687858584886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20"/>
          <c:min val="4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011733732733558"/>
          <c:y val="0.14408011151081107"/>
          <c:w val="0.78417255008463271"/>
          <c:h val="0.10890626701892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35085888039214"/>
        </c:manualLayout>
      </c:layout>
      <c:lineChart>
        <c:grouping val="standard"/>
        <c:varyColors val="0"/>
        <c:ser>
          <c:idx val="0"/>
          <c:order val="0"/>
          <c:tx>
            <c:strRef>
              <c:f>'Intermediate Zone'!$A$9:$A$10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Zone'!$E$19,'Intermediate Zone'!$G$19,'Intermediate Zone'!$I$19,'Intermediate Zone'!$K$19,'Intermediate Zone'!$M$19,'Intermediate Zone'!$O$19)</c:f>
                <c:numCache>
                  <c:formatCode>General</c:formatCode>
                  <c:ptCount val="6"/>
                  <c:pt idx="0">
                    <c:v>2.656838024488986</c:v>
                  </c:pt>
                  <c:pt idx="1">
                    <c:v>1.8521975959015247</c:v>
                  </c:pt>
                  <c:pt idx="2">
                    <c:v>0.97972010624708317</c:v>
                  </c:pt>
                  <c:pt idx="3">
                    <c:v>2.9157270043517896</c:v>
                  </c:pt>
                  <c:pt idx="4">
                    <c:v>1.967629845143644</c:v>
                  </c:pt>
                  <c:pt idx="5">
                    <c:v>3.9666249294438578</c:v>
                  </c:pt>
                </c:numCache>
              </c:numRef>
            </c:plus>
            <c:minus>
              <c:numRef>
                <c:f>('Intermediate Zone'!$E$19,'Intermediate Zone'!$G$19,'Intermediate Zone'!$I$19,'Intermediate Zone'!$K$19,'Intermediate Zone'!$M$19,'Intermediate Zone'!$O$19)</c:f>
                <c:numCache>
                  <c:formatCode>General</c:formatCode>
                  <c:ptCount val="6"/>
                  <c:pt idx="0">
                    <c:v>2.656838024488986</c:v>
                  </c:pt>
                  <c:pt idx="1">
                    <c:v>1.8521975959015247</c:v>
                  </c:pt>
                  <c:pt idx="2">
                    <c:v>0.97972010624708317</c:v>
                  </c:pt>
                  <c:pt idx="3">
                    <c:v>2.9157270043517896</c:v>
                  </c:pt>
                  <c:pt idx="4">
                    <c:v>1.967629845143644</c:v>
                  </c:pt>
                  <c:pt idx="5">
                    <c:v>3.9666249294438578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Zone'!$E$18,'Intermediate Zone'!$G$18,'Intermediate Zone'!$I$18,'Intermediate Zone'!$K$18,'Intermediate Zone'!$M$18,'Intermediate Zone'!$O$18)</c:f>
              <c:numCache>
                <c:formatCode>0.00</c:formatCode>
                <c:ptCount val="6"/>
                <c:pt idx="0">
                  <c:v>17.1764875</c:v>
                </c:pt>
                <c:pt idx="1">
                  <c:v>21.9963625</c:v>
                </c:pt>
                <c:pt idx="2">
                  <c:v>21.296012500000003</c:v>
                </c:pt>
                <c:pt idx="3">
                  <c:v>20.408137499999999</c:v>
                </c:pt>
                <c:pt idx="4">
                  <c:v>21.689299999999999</c:v>
                </c:pt>
                <c:pt idx="5">
                  <c:v>28.53532375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2-4F97-BF25-BD197F922A72}"/>
            </c:ext>
          </c:extLst>
        </c:ser>
        <c:ser>
          <c:idx val="1"/>
          <c:order val="1"/>
          <c:tx>
            <c:strRef>
              <c:f>'Intermediate Zone'!$A$21:$A$22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Zone'!$E$31,'Intermediate Zone'!$G$31,'Intermediate Zone'!$I$31,'Intermediate Zone'!$K$31,'Intermediate Zone'!$M$31,'Intermediate Zone'!$O$31)</c:f>
                <c:numCache>
                  <c:formatCode>General</c:formatCode>
                  <c:ptCount val="6"/>
                  <c:pt idx="0">
                    <c:v>1.0308819011387957</c:v>
                  </c:pt>
                  <c:pt idx="1">
                    <c:v>2.9958181561297135</c:v>
                  </c:pt>
                  <c:pt idx="2">
                    <c:v>1.7510830506738273</c:v>
                  </c:pt>
                  <c:pt idx="3">
                    <c:v>2.9574772635281126</c:v>
                  </c:pt>
                  <c:pt idx="4">
                    <c:v>2.2137378841972528</c:v>
                  </c:pt>
                  <c:pt idx="5">
                    <c:v>3.106272487932396</c:v>
                  </c:pt>
                </c:numCache>
              </c:numRef>
            </c:plus>
            <c:minus>
              <c:numRef>
                <c:f>('Intermediate Zone'!$E$31,'Intermediate Zone'!$G$31,'Intermediate Zone'!$I$31,'Intermediate Zone'!$K$31,'Intermediate Zone'!$M$31,'Intermediate Zone'!$O$31)</c:f>
                <c:numCache>
                  <c:formatCode>General</c:formatCode>
                  <c:ptCount val="6"/>
                  <c:pt idx="0">
                    <c:v>1.0308819011387957</c:v>
                  </c:pt>
                  <c:pt idx="1">
                    <c:v>2.9958181561297135</c:v>
                  </c:pt>
                  <c:pt idx="2">
                    <c:v>1.7510830506738273</c:v>
                  </c:pt>
                  <c:pt idx="3">
                    <c:v>2.9574772635281126</c:v>
                  </c:pt>
                  <c:pt idx="4">
                    <c:v>2.2137378841972528</c:v>
                  </c:pt>
                  <c:pt idx="5">
                    <c:v>3.106272487932396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Zone'!$E$30,'Intermediate Zone'!$G$30,'Intermediate Zone'!$I$30,'Intermediate Zone'!$K$30,'Intermediate Zone'!$M$30,'Intermediate Zone'!$O$30)</c:f>
              <c:numCache>
                <c:formatCode>0.00</c:formatCode>
                <c:ptCount val="6"/>
                <c:pt idx="0">
                  <c:v>7.9098924999999989</c:v>
                </c:pt>
                <c:pt idx="1">
                  <c:v>18.694254999999998</c:v>
                </c:pt>
                <c:pt idx="2">
                  <c:v>21.268999999999998</c:v>
                </c:pt>
                <c:pt idx="3">
                  <c:v>20.601699999999997</c:v>
                </c:pt>
                <c:pt idx="4">
                  <c:v>19.055498750000002</c:v>
                </c:pt>
                <c:pt idx="5">
                  <c:v>25.896450000000002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2-4F97-BF25-BD197F922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'Intermediate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('Intermediate Zone'!$E$43,'Intermediate Zone'!$G$43,'Intermediate Zone'!$I$43,'Intermediate Zone'!$K$43,'Intermediate Zone'!$M$43,'Intermediate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('Intermediate Zone'!$O$43,'Intermediate Zone'!$M$43,'Intermediate Zone'!$K$43,'Intermediate Zone'!$I$43,'Intermediate Zone'!$G$43,'Intermediate Zone'!$E$43)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('Intermediate Zone'!$E$42,'Intermediate Zone'!$G$42,'Intermediate Zone'!$I$42,'Intermediate Zone'!$K$42,'Intermediate Zone'!$M$42,'Intermediate Zone'!$O$42)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59-46CC-943B-6CB2CDA4E9E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'Intermediate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Zone'!$E$55,'Intermediate Zone'!$G$55,'Intermediate Zone'!$I$55,'Intermediate Zone'!$K$55,'Intermediate Zone'!$M$55,'Intermediate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Zone'!$E$55,'Intermediate Zone'!$G$55,'Intermediate Zone'!$I$55,'Intermediate Zone'!$K$55,'Intermediate Zone'!$M$55,'Intermediate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('Intermediate Zone'!$E$54,'Intermediate Zone'!$G$54,'Intermediate Zone'!$I$54,'Intermediate Zone'!$K$54,'Intermediate Zone'!$M$54,'Intermediate Zone'!$O$54)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7F-48D6-BAFA-D92A1F53548A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40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4341178354146653"/>
          <c:w val="0.79677419354838708"/>
          <c:h val="0.10460619821846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layout>
        <c:manualLayout>
          <c:xMode val="edge"/>
          <c:yMode val="edge"/>
          <c:x val="0.17129015324697314"/>
          <c:y val="2.4015369836695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7735085888039214"/>
        </c:manualLayout>
      </c:layout>
      <c:lineChart>
        <c:grouping val="standard"/>
        <c:varyColors val="0"/>
        <c:ser>
          <c:idx val="0"/>
          <c:order val="0"/>
          <c:tx>
            <c:strRef>
              <c:f>'Intermediate Zone'!$A$9:$A$10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Zone'!$F$19,'Intermediate Zone'!$H$19,'Intermediate Zone'!$J$19,'Intermediate Zone'!$L$19,'Intermediate Zone'!$N$19,'Intermediate Zone'!$P$19)</c:f>
                <c:numCache>
                  <c:formatCode>General</c:formatCode>
                  <c:ptCount val="6"/>
                  <c:pt idx="0">
                    <c:v>3.9299104860761687</c:v>
                  </c:pt>
                  <c:pt idx="1">
                    <c:v>3.629000255875281</c:v>
                  </c:pt>
                  <c:pt idx="2">
                    <c:v>3.9096949095440023</c:v>
                  </c:pt>
                  <c:pt idx="3">
                    <c:v>3.8052477861876106</c:v>
                  </c:pt>
                  <c:pt idx="4">
                    <c:v>2.7119938632463225</c:v>
                  </c:pt>
                  <c:pt idx="5">
                    <c:v>4.6481082941650262</c:v>
                  </c:pt>
                </c:numCache>
              </c:numRef>
            </c:plus>
            <c:minus>
              <c:numRef>
                <c:f>('Intermediate Zone'!$F$19,'Intermediate Zone'!$H$19,'Intermediate Zone'!$J$19,'Intermediate Zone'!$L$19,'Intermediate Zone'!$N$19,'Intermediate Zone'!$P$19)</c:f>
                <c:numCache>
                  <c:formatCode>General</c:formatCode>
                  <c:ptCount val="6"/>
                  <c:pt idx="0">
                    <c:v>3.9299104860761687</c:v>
                  </c:pt>
                  <c:pt idx="1">
                    <c:v>3.629000255875281</c:v>
                  </c:pt>
                  <c:pt idx="2">
                    <c:v>3.9096949095440023</c:v>
                  </c:pt>
                  <c:pt idx="3">
                    <c:v>3.8052477861876106</c:v>
                  </c:pt>
                  <c:pt idx="4">
                    <c:v>2.7119938632463225</c:v>
                  </c:pt>
                  <c:pt idx="5">
                    <c:v>4.6481082941650262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Zone'!$F$18,'Intermediate Zone'!$H$18,'Intermediate Zone'!$J$18,'Intermediate Zone'!$L$18,'Intermediate Zone'!$N$18,'Intermediate Zone'!$P$18)</c:f>
              <c:numCache>
                <c:formatCode>0.00</c:formatCode>
                <c:ptCount val="6"/>
                <c:pt idx="0">
                  <c:v>40.875</c:v>
                </c:pt>
                <c:pt idx="1">
                  <c:v>33.75</c:v>
                </c:pt>
                <c:pt idx="2">
                  <c:v>34</c:v>
                </c:pt>
                <c:pt idx="3">
                  <c:v>32.875</c:v>
                </c:pt>
                <c:pt idx="4">
                  <c:v>33.625</c:v>
                </c:pt>
                <c:pt idx="5">
                  <c:v>30.625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C-484E-B4C5-5413E7BA6B5C}"/>
            </c:ext>
          </c:extLst>
        </c:ser>
        <c:ser>
          <c:idx val="1"/>
          <c:order val="1"/>
          <c:tx>
            <c:strRef>
              <c:f>'Intermediate Zone'!$A$21:$A$22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('Intermediate Zone'!$F$31,'Intermediate Zone'!$H$31,'Intermediate Zone'!$J$31,'Intermediate Zone'!$L$31,'Intermediate Zone'!$N$31,'Intermediate Zone'!$P$31)</c:f>
                <c:numCache>
                  <c:formatCode>General</c:formatCode>
                  <c:ptCount val="6"/>
                  <c:pt idx="0">
                    <c:v>3.1381864644590967</c:v>
                  </c:pt>
                  <c:pt idx="1">
                    <c:v>2.5894704367606018</c:v>
                  </c:pt>
                  <c:pt idx="2">
                    <c:v>3.710205519913957</c:v>
                  </c:pt>
                  <c:pt idx="3">
                    <c:v>3.3166247903553998</c:v>
                  </c:pt>
                  <c:pt idx="4">
                    <c:v>2.988071523335984</c:v>
                  </c:pt>
                  <c:pt idx="5">
                    <c:v>2.5053514153279401</c:v>
                  </c:pt>
                </c:numCache>
              </c:numRef>
            </c:plus>
            <c:minus>
              <c:numRef>
                <c:f>('Intermediate Zone'!$F$31,'Intermediate Zone'!$H$31,'Intermediate Zone'!$J$31,'Intermediate Zone'!$L$31,'Intermediate Zone'!$N$31,'Intermediate Zone'!$P$31)</c:f>
                <c:numCache>
                  <c:formatCode>General</c:formatCode>
                  <c:ptCount val="6"/>
                  <c:pt idx="0">
                    <c:v>3.1381864644590967</c:v>
                  </c:pt>
                  <c:pt idx="1">
                    <c:v>2.5894704367606018</c:v>
                  </c:pt>
                  <c:pt idx="2">
                    <c:v>3.710205519913957</c:v>
                  </c:pt>
                  <c:pt idx="3">
                    <c:v>3.3166247903553998</c:v>
                  </c:pt>
                  <c:pt idx="4">
                    <c:v>2.988071523335984</c:v>
                  </c:pt>
                  <c:pt idx="5">
                    <c:v>2.5053514153279401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('Intermediate Zone'!$E$5,'Intermediate Zone'!$G$5,'Intermediate Zone'!$I$5,'Intermediate Zone'!$K$5,'Intermediate Zone'!$M$5,'Intermediate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('Intermediate Zone'!$F$30,'Intermediate Zone'!$H$30,'Intermediate Zone'!$J$30,'Intermediate Zone'!$L$30,'Intermediate Zone'!$N$30,'Intermediate Zone'!$P$30)</c:f>
              <c:numCache>
                <c:formatCode>0.00</c:formatCode>
                <c:ptCount val="6"/>
                <c:pt idx="0">
                  <c:v>29.75</c:v>
                </c:pt>
                <c:pt idx="1">
                  <c:v>38.75</c:v>
                </c:pt>
                <c:pt idx="2">
                  <c:v>35.125</c:v>
                </c:pt>
                <c:pt idx="3">
                  <c:v>32.5</c:v>
                </c:pt>
                <c:pt idx="4">
                  <c:v>30</c:v>
                </c:pt>
                <c:pt idx="5">
                  <c:v>34.75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C-484E-B4C5-5413E7BA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'Intermediate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('Intermediate Zone'!$F$43,'Intermediate Zone'!$H$43,'Intermediate Zone'!$J$43,'Intermediate Zone'!$L$43,'Intermediate Zone'!$N$43,'Intermediate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('Intermediate Zone'!$F$43,'Intermediate Zone'!$H$43,'Intermediate Zone'!$J$43,'Intermediate Zone'!$L$43,'Intermediate Zone'!$N$43,'Intermediate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('Intermediate Zone'!$F$42,'Intermediate Zone'!$H$42,'Intermediate Zone'!$J$42,'Intermediate Zone'!$L$42,'Intermediate Zone'!$N$42,'Intermediate Zone'!$P$42)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A7C-484E-B4C5-5413E7BA6B5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'Intermediate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Zone'!$F$55,'Intermediate Zone'!$H$55,'Intermediate Zone'!$J$55,'Intermediate Zone'!$L$55,'Intermediate Zone'!$N$55,'Intermediate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('Intermediate Zone'!$F$55,'Intermediate Zone'!$H$55,'Intermediate Zone'!$J$55,'Intermediate Zone'!$L$55,'Intermediate Zone'!$N$55,'Intermediate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('Intermediate Zone'!$F$54,'Intermediate Zone'!$H$54,'Intermediate Zone'!$J$54,'Intermediate Zone'!$L$54,'Intermediate Zone'!$N$54,'Intermediate Zone'!$P$54)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3E0-4B84-85DA-EC0500090A58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At val="0"/>
        <c:auto val="1"/>
        <c:lblAlgn val="ctr"/>
        <c:lblOffset val="100"/>
        <c:noMultiLvlLbl val="0"/>
      </c:catAx>
      <c:valAx>
        <c:axId val="498648352"/>
        <c:scaling>
          <c:orientation val="minMax"/>
          <c:max val="60"/>
          <c:min val="1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182778765557534"/>
          <c:y val="0.14341178354146653"/>
          <c:w val="0.78817204301075272"/>
          <c:h val="0.11640615348153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Duration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'Outer Zone'!$A$9:$A$10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Zone'!$E$19,'Outer Zone'!$G$19,'Outer Zone'!$I$19,'Outer Zone'!$K$19,'Outer Zone'!$M$19,'Outer Zone'!$O$19)</c:f>
                <c:numCache>
                  <c:formatCode>General</c:formatCode>
                  <c:ptCount val="6"/>
                  <c:pt idx="0">
                    <c:v>3.0596615982933919</c:v>
                  </c:pt>
                  <c:pt idx="1">
                    <c:v>2.6195588071140095</c:v>
                  </c:pt>
                  <c:pt idx="2">
                    <c:v>1.8618354923876292</c:v>
                  </c:pt>
                  <c:pt idx="3">
                    <c:v>3.7956646284186588</c:v>
                  </c:pt>
                  <c:pt idx="4">
                    <c:v>3.2228314846686668</c:v>
                  </c:pt>
                  <c:pt idx="5">
                    <c:v>5.361701356745697</c:v>
                  </c:pt>
                </c:numCache>
              </c:numRef>
            </c:plus>
            <c:minus>
              <c:numRef>
                <c:f>('Outer Zone'!$E$19,'Outer Zone'!$G$19,'Outer Zone'!$I$19,'Outer Zone'!$K$19,'Outer Zone'!$M$19,'Outer Zone'!$O$19)</c:f>
                <c:numCache>
                  <c:formatCode>General</c:formatCode>
                  <c:ptCount val="6"/>
                  <c:pt idx="0">
                    <c:v>3.0596615982933919</c:v>
                  </c:pt>
                  <c:pt idx="1">
                    <c:v>2.6195588071140095</c:v>
                  </c:pt>
                  <c:pt idx="2">
                    <c:v>1.8618354923876292</c:v>
                  </c:pt>
                  <c:pt idx="3">
                    <c:v>3.7956646284186588</c:v>
                  </c:pt>
                  <c:pt idx="4">
                    <c:v>3.2228314846686668</c:v>
                  </c:pt>
                  <c:pt idx="5">
                    <c:v>5.361701356745697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Zone'!$E$18,'Outer Zone'!$G$18,'Outer Zone'!$I$18,'Outer Zone'!$K$18,'Outer Zone'!$M$18,'Outer Zone'!$O$18)</c:f>
              <c:numCache>
                <c:formatCode>0.00</c:formatCode>
                <c:ptCount val="6"/>
                <c:pt idx="0">
                  <c:v>75.901250000000005</c:v>
                </c:pt>
                <c:pt idx="1">
                  <c:v>69.041349999999994</c:v>
                </c:pt>
                <c:pt idx="2">
                  <c:v>66.506900000000002</c:v>
                </c:pt>
                <c:pt idx="3">
                  <c:v>66.802999999999997</c:v>
                </c:pt>
                <c:pt idx="4">
                  <c:v>67.062299999999993</c:v>
                </c:pt>
                <c:pt idx="5">
                  <c:v>56.964099999999995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5-4CE3-88F5-EDAC1E9CE87A}"/>
            </c:ext>
          </c:extLst>
        </c:ser>
        <c:ser>
          <c:idx val="1"/>
          <c:order val="1"/>
          <c:tx>
            <c:strRef>
              <c:f>'Outer Zone'!$A$21:$A$22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Zone'!$E$31,'Outer Zone'!$G$31,'Outer Zone'!$I$31,'Outer Zone'!$K$31,'Outer Zone'!$M$31,'Outer Zone'!$O$31)</c:f>
                <c:numCache>
                  <c:formatCode>General</c:formatCode>
                  <c:ptCount val="6"/>
                  <c:pt idx="0">
                    <c:v>1.6186882848687794</c:v>
                  </c:pt>
                  <c:pt idx="1">
                    <c:v>3.8436911057480216</c:v>
                  </c:pt>
                  <c:pt idx="2">
                    <c:v>2.8166992967326863</c:v>
                  </c:pt>
                  <c:pt idx="3">
                    <c:v>4.8991930174774891</c:v>
                  </c:pt>
                  <c:pt idx="4">
                    <c:v>3.2274710257081054</c:v>
                  </c:pt>
                  <c:pt idx="5">
                    <c:v>5.0629040418924394</c:v>
                  </c:pt>
                </c:numCache>
              </c:numRef>
            </c:plus>
            <c:minus>
              <c:numRef>
                <c:f>('Outer Zone'!$E$31,'Outer Zone'!$G$31,'Outer Zone'!$I$31,'Outer Zone'!$K$31,'Outer Zone'!$M$31,'Outer Zone'!$O$31)</c:f>
                <c:numCache>
                  <c:formatCode>General</c:formatCode>
                  <c:ptCount val="6"/>
                  <c:pt idx="0">
                    <c:v>1.6186882848687794</c:v>
                  </c:pt>
                  <c:pt idx="1">
                    <c:v>3.8436911057480216</c:v>
                  </c:pt>
                  <c:pt idx="2">
                    <c:v>2.8166992967326863</c:v>
                  </c:pt>
                  <c:pt idx="3">
                    <c:v>4.8991930174774891</c:v>
                  </c:pt>
                  <c:pt idx="4">
                    <c:v>3.2274710257081054</c:v>
                  </c:pt>
                  <c:pt idx="5">
                    <c:v>5.0629040418924394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Zone'!$E$30,'Outer Zone'!$G$30,'Outer Zone'!$I$30,'Outer Zone'!$K$30,'Outer Zone'!$M$30,'Outer Zone'!$O$30)</c:f>
              <c:numCache>
                <c:formatCode>0.00</c:formatCode>
                <c:ptCount val="6"/>
                <c:pt idx="0">
                  <c:v>86.622100000000003</c:v>
                </c:pt>
                <c:pt idx="1">
                  <c:v>73.703037499999994</c:v>
                </c:pt>
                <c:pt idx="2">
                  <c:v>67.988699999999994</c:v>
                </c:pt>
                <c:pt idx="3">
                  <c:v>67.391749999999988</c:v>
                </c:pt>
                <c:pt idx="4">
                  <c:v>71.184000000000012</c:v>
                </c:pt>
                <c:pt idx="5">
                  <c:v>62.514024999999997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5-4CE3-88F5-EDAC1E9C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'Outer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('Outer Zone'!$E$43,'Outer Zone'!$G$43,'Outer Zone'!$I$43,'Outer Zone'!$K$43,'Outer Zone'!$M$43,'Outer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('Outer Zone'!$E$43,'Outer Zone'!$G$43,'Outer Zone'!$I$43,'Outer Zone'!$K$43,'Outer Zone'!$M$43,'Outer Zone'!$O$43)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('Outer Zone'!$E$42,'Outer Zone'!$G$42,'Outer Zone'!$I$42,'Outer Zone'!$K$42,'Outer Zone'!$M$42,'Outer Zone'!$O$42)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E1-422A-BA08-690C8AD793F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'Outer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Zone'!$E$55,'Outer Zone'!$G$55,'Outer Zone'!$I$55,'Outer Zone'!$K$55,'Outer Zone'!$M$55,'Outer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Zone'!$E$55,'Outer Zone'!$G$55,'Outer Zone'!$I$55,'Outer Zone'!$K$55,'Outer Zone'!$M$55,'Outer Zone'!$O$55)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('Outer Zone'!$E$54,'Outer Zone'!$G$54,'Outer Zone'!$I$54,'Outer Zone'!$K$54,'Outer Zone'!$M$54,'Outer Zone'!$O$54)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929-41D0-9E65-CBA341159F1D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9024906648916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20"/>
          <c:min val="20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752671238675811"/>
          <c:y val="0.13526801759414017"/>
          <c:w val="0.7924731182795699"/>
          <c:h val="0.10874727836837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Frequency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(times)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'Outer Zone'!$A$9:$A$10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Zone'!$F$19,'Outer Zone'!$H$19,'Outer Zone'!$J$19,'Outer Zone'!$L$19,'Outer Zone'!$N$19,'Outer Zone'!$P$19)</c:f>
                <c:numCache>
                  <c:formatCode>General</c:formatCode>
                  <c:ptCount val="6"/>
                  <c:pt idx="0">
                    <c:v>3.2168640452643134</c:v>
                  </c:pt>
                  <c:pt idx="1">
                    <c:v>2.8831406486676987</c:v>
                  </c:pt>
                  <c:pt idx="2">
                    <c:v>2.6575364531836621</c:v>
                  </c:pt>
                  <c:pt idx="3">
                    <c:v>2.4476665272400626</c:v>
                  </c:pt>
                  <c:pt idx="4">
                    <c:v>1.5698043554168508</c:v>
                  </c:pt>
                  <c:pt idx="5">
                    <c:v>2.9697131896146853</c:v>
                  </c:pt>
                </c:numCache>
              </c:numRef>
            </c:plus>
            <c:minus>
              <c:numRef>
                <c:f>('Outer Zone'!$F$19,'Outer Zone'!$H$19,'Outer Zone'!$J$19,'Outer Zone'!$L$19,'Outer Zone'!$N$19,'Outer Zone'!$P$19)</c:f>
                <c:numCache>
                  <c:formatCode>General</c:formatCode>
                  <c:ptCount val="6"/>
                  <c:pt idx="0">
                    <c:v>3.2168640452643134</c:v>
                  </c:pt>
                  <c:pt idx="1">
                    <c:v>2.8831406486676987</c:v>
                  </c:pt>
                  <c:pt idx="2">
                    <c:v>2.6575364531836621</c:v>
                  </c:pt>
                  <c:pt idx="3">
                    <c:v>2.4476665272400626</c:v>
                  </c:pt>
                  <c:pt idx="4">
                    <c:v>1.5698043554168508</c:v>
                  </c:pt>
                  <c:pt idx="5">
                    <c:v>2.9697131896146853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Zone'!$F$18,'Outer Zone'!$H$18,'Outer Zone'!$J$18,'Outer Zone'!$L$18,'Outer Zone'!$N$18,'Outer Zone'!$P$18)</c:f>
              <c:numCache>
                <c:formatCode>0.00</c:formatCode>
                <c:ptCount val="6"/>
                <c:pt idx="0">
                  <c:v>30.75</c:v>
                </c:pt>
                <c:pt idx="1">
                  <c:v>22.75</c:v>
                </c:pt>
                <c:pt idx="2">
                  <c:v>23.25</c:v>
                </c:pt>
                <c:pt idx="3">
                  <c:v>22.75</c:v>
                </c:pt>
                <c:pt idx="4">
                  <c:v>23</c:v>
                </c:pt>
                <c:pt idx="5">
                  <c:v>19.625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A69-BF95-F46FF7F35786}"/>
            </c:ext>
          </c:extLst>
        </c:ser>
        <c:ser>
          <c:idx val="1"/>
          <c:order val="1"/>
          <c:tx>
            <c:strRef>
              <c:f>'Outer Zone'!$A$21:$A$22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('Outer Zone'!$F$31,'Outer Zone'!$H$31,'Outer Zone'!$J$31,'Outer Zone'!$L$31,'Outer Zone'!$N$31,'Outer Zone'!$P$31)</c:f>
                <c:numCache>
                  <c:formatCode>General</c:formatCode>
                  <c:ptCount val="6"/>
                  <c:pt idx="0">
                    <c:v>3.8169616750199924</c:v>
                  </c:pt>
                  <c:pt idx="1">
                    <c:v>2.4563147483287118</c:v>
                  </c:pt>
                  <c:pt idx="2">
                    <c:v>3.4637794180840751</c:v>
                  </c:pt>
                  <c:pt idx="3">
                    <c:v>3.6351458999998489</c:v>
                  </c:pt>
                  <c:pt idx="4">
                    <c:v>2.8347335475692037</c:v>
                  </c:pt>
                  <c:pt idx="5">
                    <c:v>2.3979157616563596</c:v>
                  </c:pt>
                </c:numCache>
              </c:numRef>
            </c:plus>
            <c:minus>
              <c:numRef>
                <c:f>('Outer Zone'!$F$31,'Outer Zone'!$H$31,'Outer Zone'!$J$31,'Outer Zone'!$L$31,'Outer Zone'!$N$31,'Outer Zone'!$P$31)</c:f>
                <c:numCache>
                  <c:formatCode>General</c:formatCode>
                  <c:ptCount val="6"/>
                  <c:pt idx="0">
                    <c:v>3.8169616750199924</c:v>
                  </c:pt>
                  <c:pt idx="1">
                    <c:v>2.4563147483287118</c:v>
                  </c:pt>
                  <c:pt idx="2">
                    <c:v>3.4637794180840751</c:v>
                  </c:pt>
                  <c:pt idx="3">
                    <c:v>3.6351458999998489</c:v>
                  </c:pt>
                  <c:pt idx="4">
                    <c:v>2.8347335475692037</c:v>
                  </c:pt>
                  <c:pt idx="5">
                    <c:v>2.3979157616563596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('Outer Zone'!$E$5,'Outer Zone'!$G$5,'Outer Zone'!$I$5,'Outer Zone'!$K$5,'Outer Zone'!$M$5,'Outer Zone'!$O$5)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('Outer Zone'!$F$30,'Outer Zone'!$H$30,'Outer Zone'!$J$30,'Outer Zone'!$L$30,'Outer Zone'!$N$30,'Outer Zone'!$P$30)</c:f>
              <c:numCache>
                <c:formatCode>0.00</c:formatCode>
                <c:ptCount val="6"/>
                <c:pt idx="0">
                  <c:v>27.625</c:v>
                </c:pt>
                <c:pt idx="1">
                  <c:v>31.625</c:v>
                </c:pt>
                <c:pt idx="2">
                  <c:v>29.625</c:v>
                </c:pt>
                <c:pt idx="3">
                  <c:v>25.5</c:v>
                </c:pt>
                <c:pt idx="4">
                  <c:v>25</c:v>
                </c:pt>
                <c:pt idx="5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77-4A69-BF95-F46FF7F3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'Outer Zone'!$A$33:$A$34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('Outer Zone'!$F$43,'Outer Zone'!$H$43,'Outer Zone'!$J$43,'Outer Zone'!$L$43,'Outer Zone'!$N$43,'Outer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('Outer Zone'!$F$43,'Outer Zone'!$H$43,'Outer Zone'!$J$43,'Outer Zone'!$L$43,'Outer Zone'!$N$43,'Outer Zone'!$P$43)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('Outer Zone'!$F$42,'Outer Zone'!$H$42,'Outer Zone'!$J$42,'Outer Zone'!$L$42,'Outer Zone'!$N$42,'Outer Zone'!$P$42)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9FB-4715-8C25-FEB2A23B238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'Outer Zone'!$A$45:$A$46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Zone'!$F$55,'Outer Zone'!$H$55,'Outer Zone'!$J$55,'Outer Zone'!$L$55,'Outer Zone'!$N$55,'Outer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('Outer Zone'!$F$55,'Outer Zone'!$H$55,'Outer Zone'!$J$55,'Outer Zone'!$L$55,'Outer Zone'!$N$55,'Outer Zone'!$P$55)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('Outer Zone'!$F$54,'Outer Zone'!$H$54,'Outer Zone'!$J$54,'Outer Zone'!$L$54,'Outer Zone'!$N$54,'Outer Zone'!$P$54)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BF5-41AA-A22B-A1B6C7EF7617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881032522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40"/>
          <c:min val="1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462348658030652"/>
          <c:y val="0.14341178354146653"/>
          <c:w val="0.80537634408602155"/>
          <c:h val="0.1124035918420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Moving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layout>
        <c:manualLayout>
          <c:xMode val="edge"/>
          <c:yMode val="edge"/>
          <c:x val="0.31291372449411564"/>
          <c:y val="1.6016016016016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8166512969661"/>
        </c:manualLayout>
      </c:layout>
      <c:lineChart>
        <c:grouping val="standard"/>
        <c:varyColors val="0"/>
        <c:ser>
          <c:idx val="0"/>
          <c:order val="0"/>
          <c:tx>
            <c:strRef>
              <c:f>Movement!$A$9:$A$10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(Movement!$E$19,Movement!$G$19,Movement!$I$19,Movement!$K$19,Movement!$M$19,Movement!$O$19)</c:f>
                <c:numCache>
                  <c:formatCode>General</c:formatCode>
                  <c:ptCount val="6"/>
                  <c:pt idx="0">
                    <c:v>0.97976826742711853</c:v>
                  </c:pt>
                  <c:pt idx="1">
                    <c:v>0.85445341715374223</c:v>
                  </c:pt>
                  <c:pt idx="2">
                    <c:v>0.74690235976605712</c:v>
                  </c:pt>
                  <c:pt idx="3">
                    <c:v>0.78461260847767489</c:v>
                  </c:pt>
                  <c:pt idx="4">
                    <c:v>0.82065625829869926</c:v>
                  </c:pt>
                  <c:pt idx="5">
                    <c:v>0.98416073627845135</c:v>
                  </c:pt>
                </c:numCache>
              </c:numRef>
            </c:plus>
            <c:minus>
              <c:numRef>
                <c:f>(Movement!$E$19,Movement!$G$19,Movement!$I$19,Movement!$K$19,Movement!$M$19,Movement!$O$19)</c:f>
                <c:numCache>
                  <c:formatCode>General</c:formatCode>
                  <c:ptCount val="6"/>
                  <c:pt idx="0">
                    <c:v>0.97976826742711853</c:v>
                  </c:pt>
                  <c:pt idx="1">
                    <c:v>0.85445341715374223</c:v>
                  </c:pt>
                  <c:pt idx="2">
                    <c:v>0.74690235976605712</c:v>
                  </c:pt>
                  <c:pt idx="3">
                    <c:v>0.78461260847767489</c:v>
                  </c:pt>
                  <c:pt idx="4">
                    <c:v>0.82065625829869926</c:v>
                  </c:pt>
                  <c:pt idx="5">
                    <c:v>0.98416073627845135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(Movement!$E$18,Movement!$G$18,Movement!$I$18,Movement!$K$18,Movement!$M$18,Movement!$O$18)</c:f>
              <c:numCache>
                <c:formatCode>0.00</c:formatCode>
                <c:ptCount val="6"/>
                <c:pt idx="0">
                  <c:v>15.081800000000001</c:v>
                </c:pt>
                <c:pt idx="1">
                  <c:v>10.806830000000001</c:v>
                </c:pt>
                <c:pt idx="2">
                  <c:v>11.0835925</c:v>
                </c:pt>
                <c:pt idx="3">
                  <c:v>10.29434</c:v>
                </c:pt>
                <c:pt idx="4">
                  <c:v>10.3255275</c:v>
                </c:pt>
                <c:pt idx="5">
                  <c:v>8.9818549999999995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1-4E31-B1A5-2606C21456E4}"/>
            </c:ext>
          </c:extLst>
        </c:ser>
        <c:ser>
          <c:idx val="1"/>
          <c:order val="1"/>
          <c:tx>
            <c:strRef>
              <c:f>Movement!$A$21:$A$22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(Movement!$E$31,Movement!$G$31,Movement!$I$31,Movement!$K$31,Movement!$M$31,Movement!$O$31)</c:f>
                <c:numCache>
                  <c:formatCode>General</c:formatCode>
                  <c:ptCount val="6"/>
                  <c:pt idx="0">
                    <c:v>9.4629484528192531</c:v>
                  </c:pt>
                  <c:pt idx="1">
                    <c:v>9.8840339413032599</c:v>
                  </c:pt>
                  <c:pt idx="2">
                    <c:v>9.1429754068252151</c:v>
                  </c:pt>
                  <c:pt idx="3">
                    <c:v>8.913858232434194</c:v>
                  </c:pt>
                  <c:pt idx="4">
                    <c:v>9.56261569400918</c:v>
                  </c:pt>
                  <c:pt idx="5">
                    <c:v>8.6682326655574542</c:v>
                  </c:pt>
                </c:numCache>
              </c:numRef>
            </c:plus>
            <c:minus>
              <c:numRef>
                <c:f>(Movement!$E$31,Movement!$G$31,Movement!$I$31,Movement!$K$31,Movement!$M$31,Movement!$O$31)</c:f>
                <c:numCache>
                  <c:formatCode>General</c:formatCode>
                  <c:ptCount val="6"/>
                  <c:pt idx="0">
                    <c:v>9.4629484528192531</c:v>
                  </c:pt>
                  <c:pt idx="1">
                    <c:v>9.8840339413032599</c:v>
                  </c:pt>
                  <c:pt idx="2">
                    <c:v>9.1429754068252151</c:v>
                  </c:pt>
                  <c:pt idx="3">
                    <c:v>8.913858232434194</c:v>
                  </c:pt>
                  <c:pt idx="4">
                    <c:v>9.56261569400918</c:v>
                  </c:pt>
                  <c:pt idx="5">
                    <c:v>8.6682326655574542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(Movement!$E$30,Movement!$G$30,Movement!$I$30,Movement!$K$30,Movement!$M$30,Movement!$O$30)</c:f>
              <c:numCache>
                <c:formatCode>0.00</c:formatCode>
                <c:ptCount val="6"/>
                <c:pt idx="0">
                  <c:v>39.345700000000001</c:v>
                </c:pt>
                <c:pt idx="1">
                  <c:v>38.551762499999995</c:v>
                </c:pt>
                <c:pt idx="2">
                  <c:v>34.383994999999999</c:v>
                </c:pt>
                <c:pt idx="3">
                  <c:v>33.200657499999998</c:v>
                </c:pt>
                <c:pt idx="4">
                  <c:v>34.501040000000003</c:v>
                </c:pt>
                <c:pt idx="5">
                  <c:v>33.172141249999996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1-4E31-B1A5-2606C2145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Movement!$A$33:$A$34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(Movement!$E$43,Movement!$G$43,Movement!$I$43,Movement!$K$43,Movement!$M$43,Movement!$O$43)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(Movement!$O$43,Movement!$M$43,Movement!$K$43,Movement!$I$43,Movement!$G$43,Movement!$E$43)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(Movement!$E$42,Movement!$G$42,Movement!$I$42,Movement!$K$42,Movement!$M$42,Movement!$O$42)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2F7-458F-BA71-73EDF69BC0E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Movement!$A$45:$A$46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(Movement!$E$55,Movement!$G$55,Movement!$I$55,Movement!$K$55,Movement!$M$55,Movement!$O$55)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(Movement!$E$55,Movement!$G$55,Movement!$I$55,Movement!$K$55,Movement!$M$55,Movement!$O$55)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(Movement!$E$54,Movement!$G$54,Movement!$I$54,Movement!$K$54,Movement!$M$54,Movement!$O$54)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C1-411D-9AFF-4E63DD4FC15F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937693599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50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3567579281947556"/>
          <c:w val="0.80107526881720426"/>
          <c:h val="0.10443608963294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 baseline="0">
                <a:solidFill>
                  <a:srgbClr val="000099"/>
                </a:solidFill>
                <a:latin typeface="Arial Rounded MT Bold" panose="020F0704030504030204" pitchFamily="34" charset="0"/>
              </a:rPr>
              <a:t>Not Moving</a:t>
            </a: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9336110543818912"/>
        </c:manualLayout>
      </c:layout>
      <c:lineChart>
        <c:grouping val="standard"/>
        <c:varyColors val="0"/>
        <c:ser>
          <c:idx val="0"/>
          <c:order val="0"/>
          <c:tx>
            <c:strRef>
              <c:f>Movement!$A$9:$A$10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(Movement!$F$19,Movement!$H$19,Movement!$J$19,Movement!$L$19,Movement!$N$19,Movement!$P$19)</c:f>
                <c:numCache>
                  <c:formatCode>General</c:formatCode>
                  <c:ptCount val="6"/>
                  <c:pt idx="0">
                    <c:v>0.98732443420110672</c:v>
                  </c:pt>
                  <c:pt idx="1">
                    <c:v>0.85472431938190252</c:v>
                  </c:pt>
                  <c:pt idx="2">
                    <c:v>0.75289118184265391</c:v>
                  </c:pt>
                  <c:pt idx="3">
                    <c:v>0.79829010765644681</c:v>
                  </c:pt>
                  <c:pt idx="4">
                    <c:v>0.81731209809470196</c:v>
                  </c:pt>
                  <c:pt idx="5">
                    <c:v>1.027097899075698</c:v>
                  </c:pt>
                </c:numCache>
              </c:numRef>
            </c:plus>
            <c:minus>
              <c:numRef>
                <c:f>(Movement!$F$19,Movement!$H$19,Movement!$J$19,Movement!$L$19,Movement!$N$19,Movement!$P$19)</c:f>
                <c:numCache>
                  <c:formatCode>General</c:formatCode>
                  <c:ptCount val="6"/>
                  <c:pt idx="0">
                    <c:v>0.98732443420110672</c:v>
                  </c:pt>
                  <c:pt idx="1">
                    <c:v>0.85472431938190252</c:v>
                  </c:pt>
                  <c:pt idx="2">
                    <c:v>0.75289118184265391</c:v>
                  </c:pt>
                  <c:pt idx="3">
                    <c:v>0.79829010765644681</c:v>
                  </c:pt>
                  <c:pt idx="4">
                    <c:v>0.81731209809470196</c:v>
                  </c:pt>
                  <c:pt idx="5">
                    <c:v>1.027097899075698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(Movement!$F$18,Movement!$H$18,Movement!$J$18,Movement!$L$18,Movement!$N$18,Movement!$P$18)</c:f>
              <c:numCache>
                <c:formatCode>0.00</c:formatCode>
                <c:ptCount val="6"/>
                <c:pt idx="0">
                  <c:v>84.85848750000001</c:v>
                </c:pt>
                <c:pt idx="1">
                  <c:v>89.151499999999999</c:v>
                </c:pt>
                <c:pt idx="2">
                  <c:v>88.845824999999991</c:v>
                </c:pt>
                <c:pt idx="3">
                  <c:v>89.656424999999984</c:v>
                </c:pt>
                <c:pt idx="4">
                  <c:v>89.618037499999986</c:v>
                </c:pt>
                <c:pt idx="5">
                  <c:v>90.918000000000006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0-4FC4-A36D-797048242962}"/>
            </c:ext>
          </c:extLst>
        </c:ser>
        <c:ser>
          <c:idx val="1"/>
          <c:order val="1"/>
          <c:tx>
            <c:strRef>
              <c:f>Movement!$A$21:$A$22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(Movement!$F$31,Movement!$H$31,Movement!$J$31,Movement!$L$31,Movement!$N$31,Movement!$P$31)</c:f>
                <c:numCache>
                  <c:formatCode>General</c:formatCode>
                  <c:ptCount val="6"/>
                  <c:pt idx="0">
                    <c:v>8.8620404168352085</c:v>
                  </c:pt>
                  <c:pt idx="1">
                    <c:v>9.3539369595476707</c:v>
                  </c:pt>
                  <c:pt idx="2">
                    <c:v>8.1643561322424354</c:v>
                  </c:pt>
                  <c:pt idx="3">
                    <c:v>8.6212436208356387</c:v>
                  </c:pt>
                  <c:pt idx="4">
                    <c:v>9.0045706578411409</c:v>
                  </c:pt>
                  <c:pt idx="5">
                    <c:v>7.9775972818698104</c:v>
                  </c:pt>
                </c:numCache>
              </c:numRef>
            </c:plus>
            <c:minus>
              <c:numRef>
                <c:f>(Movement!$F$31,Movement!$H$31,Movement!$J$31,Movement!$L$31,Movement!$N$31,Movement!$P$31)</c:f>
                <c:numCache>
                  <c:formatCode>General</c:formatCode>
                  <c:ptCount val="6"/>
                  <c:pt idx="0">
                    <c:v>8.8620404168352085</c:v>
                  </c:pt>
                  <c:pt idx="1">
                    <c:v>9.3539369595476707</c:v>
                  </c:pt>
                  <c:pt idx="2">
                    <c:v>8.1643561322424354</c:v>
                  </c:pt>
                  <c:pt idx="3">
                    <c:v>8.6212436208356387</c:v>
                  </c:pt>
                  <c:pt idx="4">
                    <c:v>9.0045706578411409</c:v>
                  </c:pt>
                  <c:pt idx="5">
                    <c:v>7.9775972818698104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(Movement!$E$5,Movement!$G$5,Movement!$I$5,Movement!$K$5,Movement!$M$5,Movement!$O$5)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(Movement!$F$30,Movement!$H$30,Movement!$J$30,Movement!$L$30,Movement!$N$30,Movement!$P$30)</c:f>
              <c:numCache>
                <c:formatCode>0.00</c:formatCode>
                <c:ptCount val="6"/>
                <c:pt idx="0">
                  <c:v>58.761262499999987</c:v>
                </c:pt>
                <c:pt idx="1">
                  <c:v>59.938662500000007</c:v>
                </c:pt>
                <c:pt idx="2">
                  <c:v>62.820712500000006</c:v>
                </c:pt>
                <c:pt idx="3">
                  <c:v>65.837987499999997</c:v>
                </c:pt>
                <c:pt idx="4">
                  <c:v>63.844425000000001</c:v>
                </c:pt>
                <c:pt idx="5">
                  <c:v>64.672174999999996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0-4FC4-A36D-79704824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Movement!$A$33:$A$34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(Movement!$F$43,Movement!$H$43,Movement!$J$43,Movement!$L$43,Movement!$N$43,Movement!$P$43)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(Movement!$P$43,Movement!$N$43,Movement!$L$43,Movement!$J$43,Movement!$H$43,Movement!$F$43)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(Movement!$F$42,Movement!$H$42,Movement!$J$42,Movement!$L$42,Movement!$N$42,Movement!$P$42)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B5A-4EF2-93B0-A07DDABD08A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Movement!$A$45:$A$46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(Movement!$F$55,Movement!$H$55,Movement!$J$55,Movement!$L$55,Movement!$N$55,Movement!$P$55)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(Movement!$F$55,Movement!$H$55,Movement!$J$55,Movement!$L$55,Movement!$N$55,Movement!$P$55)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(Movement!$F$54,Movement!$H$54,Movement!$J$54,Movement!$L$54,Movement!$N$54,Movement!$P$54)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1B7-4B65-8982-8907118AFE02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peroids (min)</a:t>
                </a:r>
              </a:p>
            </c:rich>
          </c:tx>
          <c:layout>
            <c:manualLayout>
              <c:xMode val="edge"/>
              <c:yMode val="edge"/>
              <c:x val="0.29747692828718997"/>
              <c:y val="0.8984881032522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  <c:max val="100"/>
          <c:min val="35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32256371179409"/>
          <c:y val="0.13584715153452478"/>
          <c:w val="0.7924731182795699"/>
          <c:h val="0.1124035918420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99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rgbClr val="000099"/>
                </a:solidFill>
                <a:latin typeface="Arial Rounded MT Bold" panose="020F0704030504030204" pitchFamily="34" charset="0"/>
              </a:rPr>
              <a:t>Distance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99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935854379873983"/>
        </c:manualLayout>
      </c:layout>
      <c:lineChart>
        <c:grouping val="standard"/>
        <c:varyColors val="0"/>
        <c:ser>
          <c:idx val="0"/>
          <c:order val="0"/>
          <c:tx>
            <c:strRef>
              <c:f>'Distance &amp; Velocity'!$A$9:$A$10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Velocity'!$E$19,'Distance &amp; Velocity'!$G$19,'Distance &amp; Velocity'!$I$19,'Distance &amp; Velocity'!$K$19,'Distance &amp; Velocity'!$M$19,'Distance &amp; Velocity'!$O$19)</c:f>
                <c:numCache>
                  <c:formatCode>General</c:formatCode>
                  <c:ptCount val="6"/>
                  <c:pt idx="0">
                    <c:v>109.73434032031997</c:v>
                  </c:pt>
                  <c:pt idx="1">
                    <c:v>94.923635075968392</c:v>
                  </c:pt>
                  <c:pt idx="2">
                    <c:v>81.693962383517729</c:v>
                  </c:pt>
                  <c:pt idx="3">
                    <c:v>85.933356016865758</c:v>
                  </c:pt>
                  <c:pt idx="4">
                    <c:v>90.904816933002863</c:v>
                  </c:pt>
                  <c:pt idx="5">
                    <c:v>105.25205695457765</c:v>
                  </c:pt>
                </c:numCache>
              </c:numRef>
            </c:plus>
            <c:minus>
              <c:numRef>
                <c:f>('Distance &amp; Velocity'!$E$19,'Distance &amp; Velocity'!$G$19,'Distance &amp; Velocity'!$I$19,'Distance &amp; Velocity'!$K$19,'Distance &amp; Velocity'!$M$19,'Distance &amp; Velocity'!$O$19)</c:f>
                <c:numCache>
                  <c:formatCode>General</c:formatCode>
                  <c:ptCount val="6"/>
                  <c:pt idx="0">
                    <c:v>109.73434032031997</c:v>
                  </c:pt>
                  <c:pt idx="1">
                    <c:v>94.923635075968392</c:v>
                  </c:pt>
                  <c:pt idx="2">
                    <c:v>81.693962383517729</c:v>
                  </c:pt>
                  <c:pt idx="3">
                    <c:v>85.933356016865758</c:v>
                  </c:pt>
                  <c:pt idx="4">
                    <c:v>90.904816933002863</c:v>
                  </c:pt>
                  <c:pt idx="5">
                    <c:v>105.25205695457765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('Distance &amp; Velocity'!$E$5,'Distance &amp; Velocity'!$G$5,'Distance &amp; Velocity'!$I$5,'Distance &amp; Velocity'!$K$5,'Distance &amp; Velocity'!$M$5,'Distance &amp; Velocity'!$O$5)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('Distance &amp; Velocity'!$E$18,'Distance &amp; Velocity'!$G$18,'Distance &amp; Velocity'!$I$18,'Distance &amp; Velocity'!$K$18,'Distance &amp; Velocity'!$M$18,'Distance &amp; Velocity'!$O$18)</c:f>
              <c:numCache>
                <c:formatCode>0.00</c:formatCode>
                <c:ptCount val="6"/>
                <c:pt idx="0">
                  <c:v>1630.3424999999997</c:v>
                </c:pt>
                <c:pt idx="1">
                  <c:v>1150.4120000000003</c:v>
                </c:pt>
                <c:pt idx="2">
                  <c:v>1178.8317500000001</c:v>
                </c:pt>
                <c:pt idx="3">
                  <c:v>1099.248</c:v>
                </c:pt>
                <c:pt idx="4">
                  <c:v>1101.9948750000001</c:v>
                </c:pt>
                <c:pt idx="5">
                  <c:v>946.14625000000001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A-485C-A951-F30DF2CB4C07}"/>
            </c:ext>
          </c:extLst>
        </c:ser>
        <c:ser>
          <c:idx val="1"/>
          <c:order val="1"/>
          <c:tx>
            <c:strRef>
              <c:f>'Distance &amp; Velocity'!$A$21:$A$22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Velocity'!$E$31,'Distance &amp; Velocity'!$G$31,'Distance &amp; Velocity'!$I$31,'Distance &amp; Velocity'!$K$31,'Distance &amp; Velocity'!$M$31,'Distance &amp; Velocity'!$O$31,'Distance &amp; Velocity'!$Q$31)</c:f>
                <c:numCache>
                  <c:formatCode>General</c:formatCode>
                  <c:ptCount val="7"/>
                  <c:pt idx="0">
                    <c:v>3839.9215115126603</c:v>
                  </c:pt>
                  <c:pt idx="1">
                    <c:v>3337.6780710969188</c:v>
                  </c:pt>
                  <c:pt idx="2">
                    <c:v>2602.9034530008548</c:v>
                  </c:pt>
                  <c:pt idx="3">
                    <c:v>2678.6837995400097</c:v>
                  </c:pt>
                  <c:pt idx="4">
                    <c:v>2739.1879892804955</c:v>
                  </c:pt>
                  <c:pt idx="5">
                    <c:v>2417.8402549903135</c:v>
                  </c:pt>
                  <c:pt idx="6">
                    <c:v>17009.410543845799</c:v>
                  </c:pt>
                </c:numCache>
              </c:numRef>
            </c:plus>
            <c:minus>
              <c:numRef>
                <c:f>('Distance &amp; Velocity'!$E$31,'Distance &amp; Velocity'!$G$31,'Distance &amp; Velocity'!$I$31,'Distance &amp; Velocity'!$K$31,'Distance &amp; Velocity'!$M$31,'Distance &amp; Velocity'!$O$31)</c:f>
                <c:numCache>
                  <c:formatCode>General</c:formatCode>
                  <c:ptCount val="6"/>
                  <c:pt idx="0">
                    <c:v>3839.9215115126603</c:v>
                  </c:pt>
                  <c:pt idx="1">
                    <c:v>3337.6780710969188</c:v>
                  </c:pt>
                  <c:pt idx="2">
                    <c:v>2602.9034530008548</c:v>
                  </c:pt>
                  <c:pt idx="3">
                    <c:v>2678.6837995400097</c:v>
                  </c:pt>
                  <c:pt idx="4">
                    <c:v>2739.1879892804955</c:v>
                  </c:pt>
                  <c:pt idx="5">
                    <c:v>2417.8402549903135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('Distance &amp; Velocity'!$E$30,'Distance &amp; Velocity'!$G$30,'Distance &amp; Velocity'!$I$30,'Distance &amp; Velocity'!$K$30,'Distance &amp; Velocity'!$M$30,'Distance &amp; Velocity'!$O$30)</c:f>
              <c:numCache>
                <c:formatCode>0.00</c:formatCode>
                <c:ptCount val="6"/>
                <c:pt idx="0">
                  <c:v>11145.282500000001</c:v>
                </c:pt>
                <c:pt idx="1">
                  <c:v>10136.7575</c:v>
                </c:pt>
                <c:pt idx="2">
                  <c:v>7853.4457499999999</c:v>
                </c:pt>
                <c:pt idx="3">
                  <c:v>7927.8644999999997</c:v>
                </c:pt>
                <c:pt idx="4">
                  <c:v>7981.4787500000002</c:v>
                </c:pt>
                <c:pt idx="5">
                  <c:v>7362.9948750000003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A-485C-A951-F30DF2CB4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'Distance &amp; Velocity'!$A$33:$A$34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('Distance &amp; Velocity'!$E$43,'Distance &amp; Velocity'!$G$43,'Distance &amp; Velocity'!$I$43,'Distance &amp; Velocity'!$K$43,'Distance &amp; Velocity'!$M$43,'Distance &amp; Velocity'!$O$43)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('Distance &amp; Velocity'!$O$43,'Distance &amp; Velocity'!$M$43,'Distance &amp; Velocity'!$K$43,'Distance &amp; Velocity'!$I$43,'Distance &amp; Velocity'!$I$43,'Distance &amp; Velocity'!$G$43,'Distance &amp; Velocity'!$E$43)</c15:sqref>
                          </c15:formulaRef>
                        </c:ext>
                      </c:extLst>
                      <c:numCache>
                        <c:formatCode>General</c:formatCode>
                        <c:ptCount val="7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  <c:pt idx="6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('Distance &amp; Velocity'!$E$42,'Distance &amp; Velocity'!$G$42,'Distance &amp; Velocity'!$I$42,'Distance &amp; Velocity'!$K$42,'Distance &amp; Velocity'!$M$42,'Distance &amp; Velocity'!$O$42)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AB4-44FD-AC6E-993257F9841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'Distance &amp; Velocity'!$A$45:$A$46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Velocity'!$E$55,'Distance &amp; Velocity'!$G$55,'Distance &amp; Velocity'!$I$55,'Distance &amp; Velocity'!$K$55,'Distance &amp; Velocity'!$M$55,'Distance &amp; Velocity'!$O$55)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Velocity'!$E$55,'Distance &amp; Velocity'!$G$55,'Distance &amp; Velocity'!$I$55,'Distance &amp; Velocity'!$K$55,'Distance &amp; Velocity'!$M$55,'Distance &amp; Velocity'!$O$55)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('Distance &amp; Velocity'!$E$54,'Distance &amp; Velocity'!$G$54,'Distance &amp; Velocity'!$I$54,'Distance &amp; Velocity'!$K$54,'Distance &amp; Velocity'!$M$54,'Distance &amp; Velocity'!$O$54)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2ED-4ACD-971E-2791575B9B93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90246702771663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182778765557534"/>
          <c:y val="0.13940909774404753"/>
          <c:w val="0.7924731182795699"/>
          <c:h val="0.10840103020263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>
                <a:solidFill>
                  <a:srgbClr val="000099"/>
                </a:solidFill>
                <a:latin typeface="Arial Rounded MT Bold" panose="020F0704030504030204" pitchFamily="34" charset="0"/>
              </a:rPr>
              <a:t>Velocity (cm/s)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4871175660279"/>
          <c:y val="0.19726515510862347"/>
          <c:w val="0.79673508953929351"/>
          <c:h val="0.48135342051984137"/>
        </c:manualLayout>
      </c:layout>
      <c:lineChart>
        <c:grouping val="standard"/>
        <c:varyColors val="0"/>
        <c:ser>
          <c:idx val="0"/>
          <c:order val="0"/>
          <c:tx>
            <c:strRef>
              <c:f>'Distance &amp; Velocity'!$A$9:$A$10</c:f>
              <c:strCache>
                <c:ptCount val="1"/>
                <c:pt idx="0">
                  <c:v>NCD CON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Velocity'!$F$19,'Distance &amp; Velocity'!$H$19,'Distance &amp; Velocity'!$J$19,'Distance &amp; Velocity'!$L$19,'Distance &amp; Velocity'!$N$19,'Distance &amp; Velocity'!$P$19)</c:f>
                <c:numCache>
                  <c:formatCode>General</c:formatCode>
                  <c:ptCount val="6"/>
                  <c:pt idx="0">
                    <c:v>3292.0523543147333</c:v>
                  </c:pt>
                  <c:pt idx="1">
                    <c:v>2847.7333719705657</c:v>
                  </c:pt>
                  <c:pt idx="2">
                    <c:v>2450.8309519972809</c:v>
                  </c:pt>
                  <c:pt idx="3">
                    <c:v>2578.0201735571841</c:v>
                  </c:pt>
                  <c:pt idx="4">
                    <c:v>2727.1787232830361</c:v>
                  </c:pt>
                  <c:pt idx="5">
                    <c:v>3157.5863757266857</c:v>
                  </c:pt>
                </c:numCache>
              </c:numRef>
            </c:plus>
            <c:minus>
              <c:numRef>
                <c:f>('Distance &amp; Velocity'!$F$19,'Distance &amp; Velocity'!$H$19,'Distance &amp; Velocity'!$J$19,'Distance &amp; Velocity'!$L$19,'Distance &amp; Velocity'!$N$19,'Distance &amp; Velocity'!$P$19)</c:f>
                <c:numCache>
                  <c:formatCode>General</c:formatCode>
                  <c:ptCount val="6"/>
                  <c:pt idx="0">
                    <c:v>3292.0523543147333</c:v>
                  </c:pt>
                  <c:pt idx="1">
                    <c:v>2847.7333719705657</c:v>
                  </c:pt>
                  <c:pt idx="2">
                    <c:v>2450.8309519972809</c:v>
                  </c:pt>
                  <c:pt idx="3">
                    <c:v>2578.0201735571841</c:v>
                  </c:pt>
                  <c:pt idx="4">
                    <c:v>2727.1787232830361</c:v>
                  </c:pt>
                  <c:pt idx="5">
                    <c:v>3157.5863757266857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('Distance &amp; Velocity'!$E$5,'Distance &amp; Velocity'!$G$5,'Distance &amp; Velocity'!$I$5,'Distance &amp; Velocity'!$K$5,'Distance &amp; Velocity'!$M$5,'Distance &amp; Velocity'!$O$5)</c:f>
              <c:strCache>
                <c:ptCount val="6"/>
                <c:pt idx="0">
                  <c:v>00:00-05:00</c:v>
                </c:pt>
                <c:pt idx="1">
                  <c:v>05:01-10:00</c:v>
                </c:pt>
                <c:pt idx="2">
                  <c:v>10:01-15:00</c:v>
                </c:pt>
                <c:pt idx="3">
                  <c:v>15:01-20:00</c:v>
                </c:pt>
                <c:pt idx="4">
                  <c:v>20:01-25:00</c:v>
                </c:pt>
                <c:pt idx="5">
                  <c:v>25:01-30:00</c:v>
                </c:pt>
              </c:strCache>
            </c:strRef>
          </c:cat>
          <c:val>
            <c:numRef>
              <c:f>('Distance &amp; Velocity'!$F$18,'Distance &amp; Velocity'!$H$18,'Distance &amp; Velocity'!$J$18,'Distance &amp; Velocity'!$L$18,'Distance &amp; Velocity'!$N$18,'Distance &amp; Velocity'!$P$18)</c:f>
              <c:numCache>
                <c:formatCode>0.00</c:formatCode>
                <c:ptCount val="6"/>
                <c:pt idx="0">
                  <c:v>48910.737499999996</c:v>
                </c:pt>
                <c:pt idx="1">
                  <c:v>34512.662499999999</c:v>
                </c:pt>
                <c:pt idx="2">
                  <c:v>35365.224999999999</c:v>
                </c:pt>
                <c:pt idx="3">
                  <c:v>32977.775000000001</c:v>
                </c:pt>
                <c:pt idx="4">
                  <c:v>33060.212500000001</c:v>
                </c:pt>
                <c:pt idx="5">
                  <c:v>28384.653749999998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2-463A-A25B-6484E2E1F392}"/>
            </c:ext>
          </c:extLst>
        </c:ser>
        <c:ser>
          <c:idx val="1"/>
          <c:order val="1"/>
          <c:tx>
            <c:strRef>
              <c:f>'Distance &amp; Velocity'!$A$21:$A$22</c:f>
              <c:strCache>
                <c:ptCount val="1"/>
                <c:pt idx="0">
                  <c:v>NCD CUS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66FFFF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('Distance &amp; Velocity'!$F$31,'Distance &amp; Velocity'!$H$31,'Distance &amp; Velocity'!$J$31,'Distance &amp; Velocity'!$L$31,'Distance &amp; Velocity'!$N$31,'Distance &amp; Velocity'!$P$31)</c:f>
                <c:numCache>
                  <c:formatCode>General</c:formatCode>
                  <c:ptCount val="6"/>
                  <c:pt idx="0">
                    <c:v>115198.8575031701</c:v>
                  </c:pt>
                  <c:pt idx="1">
                    <c:v>100131.16278778111</c:v>
                  </c:pt>
                  <c:pt idx="2">
                    <c:v>78087.833258782004</c:v>
                  </c:pt>
                  <c:pt idx="3">
                    <c:v>80361.291228056522</c:v>
                  </c:pt>
                  <c:pt idx="4">
                    <c:v>82176.590134158643</c:v>
                  </c:pt>
                  <c:pt idx="5">
                    <c:v>72536.142336418721</c:v>
                  </c:pt>
                </c:numCache>
              </c:numRef>
            </c:plus>
            <c:minus>
              <c:numRef>
                <c:f>('Distance &amp; Velocity'!$F$31,'Distance &amp; Velocity'!$H$31,'Distance &amp; Velocity'!$J$31,'Distance &amp; Velocity'!$L$31,'Distance &amp; Velocity'!$N$31,'Distance &amp; Velocity'!$P$31)</c:f>
                <c:numCache>
                  <c:formatCode>General</c:formatCode>
                  <c:ptCount val="6"/>
                  <c:pt idx="0">
                    <c:v>115198.8575031701</c:v>
                  </c:pt>
                  <c:pt idx="1">
                    <c:v>100131.16278778111</c:v>
                  </c:pt>
                  <c:pt idx="2">
                    <c:v>78087.833258782004</c:v>
                  </c:pt>
                  <c:pt idx="3">
                    <c:v>80361.291228056522</c:v>
                  </c:pt>
                  <c:pt idx="4">
                    <c:v>82176.590134158643</c:v>
                  </c:pt>
                  <c:pt idx="5">
                    <c:v>72536.142336418721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('Distance &amp; Velocity'!$F$30,'Distance &amp; Velocity'!$H$30,'Distance &amp; Velocity'!$J$30,'Distance &amp; Velocity'!$L$30,'Distance &amp; Velocity'!$N$30,'Distance &amp; Velocity'!$P$30)</c:f>
              <c:numCache>
                <c:formatCode>0.00</c:formatCode>
                <c:ptCount val="6"/>
                <c:pt idx="0">
                  <c:v>334361.73749999999</c:v>
                </c:pt>
                <c:pt idx="1">
                  <c:v>304105.32500000001</c:v>
                </c:pt>
                <c:pt idx="2">
                  <c:v>235605.67499999999</c:v>
                </c:pt>
                <c:pt idx="3">
                  <c:v>237838.21249999999</c:v>
                </c:pt>
                <c:pt idx="4">
                  <c:v>239447.05</c:v>
                </c:pt>
                <c:pt idx="5">
                  <c:v>220892.625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2-463A-A25B-6484E2E1F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47368"/>
        <c:axId val="4986483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'Distance &amp; Velocity'!$A$33:$A$34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CC99FF"/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('Distance &amp; Velocity'!$F$43,'Distance &amp; Velocity'!$H$43,'Distance &amp; Velocity'!$J$43,'Distance &amp; Velocity'!$L$43,'Distance &amp; Velocity'!$N$43,'Distance &amp; Velocity'!$P$43)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('Distance &amp; Velocity'!$P$43,'Distance &amp; Velocity'!$N$43,'Distance &amp; Velocity'!$L$43,'Distance &amp; Velocity'!$J$43,'Distance &amp; Velocity'!$H$43,'Distance &amp; Velocity'!$F$43,'Distance &amp; Velocity'!$F$43)</c15:sqref>
                          </c15:formulaRef>
                        </c:ext>
                      </c:extLst>
                      <c:numCache>
                        <c:formatCode>General</c:formatCode>
                        <c:ptCount val="7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  <c:pt idx="6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>
                      <c:ext uri="{02D57815-91ED-43cb-92C2-25804820EDAC}">
                        <c15:formulaRef>
                          <c15:sqref>('Distance &amp; Velocity'!$F$42,'Distance &amp; Velocity'!$H$42,'Distance &amp; Velocity'!$J$42,'Distance &amp; Velocity'!$L$42,'Distance &amp; Velocity'!$N$42,'Distance &amp; Velocity'!$P$42)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4C-4E48-89B4-1F57BE4578B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'Distance &amp; Velocity'!$A$45:$A$46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:spPr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Velocity'!$F$55,'Distance &amp; Velocity'!$H$55,'Distance &amp; Velocity'!$J$55,'Distance &amp; Velocity'!$L$55,'Distance &amp; Velocity'!$N$55,'Distance &amp; Velocity'!$P$55)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('Distance &amp; Velocity'!$F$55,'Distance &amp; Velocity'!$H$55,'Distance &amp; Velocity'!$J$55,'Distance &amp; Velocity'!$L$55,'Distance &amp; Velocity'!$N$55,'Distance &amp; Velocity'!$P$55)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0</c:v>
                        </c:pt>
                      </c:numCache>
                    </c:numRef>
                  </c:minus>
                  <c:spPr>
                    <a:noFill/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:errBar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('Distance &amp; Velocity'!$F$54,'Distance &amp; Velocity'!$H$54,'Distance &amp; Velocity'!$J$54,'Distance &amp; Velocity'!$L$54,'Distance &amp; Velocity'!$N$54,'Distance &amp; Velocity'!$P$54)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87A-45D9-AEC0-AA6868238BDB}"/>
                  </c:ext>
                </c:extLst>
              </c15:ser>
            </c15:filteredLineSeries>
          </c:ext>
        </c:extLst>
      </c:lineChart>
      <c:catAx>
        <c:axId val="49864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Time periods (min)</a:t>
                </a:r>
              </a:p>
            </c:rich>
          </c:tx>
          <c:layout>
            <c:manualLayout>
              <c:xMode val="edge"/>
              <c:yMode val="edge"/>
              <c:x val="0.31468122936245879"/>
              <c:y val="0.896766686584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8352"/>
        <c:crosses val="autoZero"/>
        <c:auto val="1"/>
        <c:lblAlgn val="ctr"/>
        <c:lblOffset val="100"/>
        <c:noMultiLvlLbl val="0"/>
      </c:catAx>
      <c:valAx>
        <c:axId val="49864835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075590551181101"/>
          <c:y val="0.13658575059322031"/>
          <c:w val="0.80321937177207692"/>
          <c:h val="0.10756931680369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232928</xdr:colOff>
      <xdr:row>19</xdr:row>
      <xdr:rowOff>246784</xdr:rowOff>
    </xdr:from>
    <xdr:to>
      <xdr:col>22</xdr:col>
      <xdr:colOff>450167</xdr:colOff>
      <xdr:row>37</xdr:row>
      <xdr:rowOff>68684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234660</xdr:colOff>
      <xdr:row>38</xdr:row>
      <xdr:rowOff>36367</xdr:rowOff>
    </xdr:from>
    <xdr:to>
      <xdr:col>22</xdr:col>
      <xdr:colOff>451899</xdr:colOff>
      <xdr:row>55</xdr:row>
      <xdr:rowOff>118040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47625</xdr:colOff>
      <xdr:row>16</xdr:row>
      <xdr:rowOff>0</xdr:rowOff>
    </xdr:from>
    <xdr:ext cx="4111625" cy="3606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293D91-9900-45CD-AC37-8DCF7B0CFAB7}"/>
            </a:ext>
          </a:extLst>
        </xdr:cNvPr>
        <xdr:cNvSpPr txBox="1"/>
      </xdr:nvSpPr>
      <xdr:spPr>
        <a:xfrm>
          <a:off x="15821025" y="4908550"/>
          <a:ext cx="4111625" cy="3606800"/>
        </a:xfrm>
        <a:prstGeom prst="rect">
          <a:avLst/>
        </a:prstGeom>
        <a:solidFill>
          <a:srgbClr val="FFFFCD"/>
        </a:solidFill>
        <a:ln w="12700">
          <a:solidFill>
            <a:srgbClr val="00006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 b="0">
              <a:solidFill>
                <a:srgbClr val="BC0000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Experimental</a:t>
          </a:r>
          <a:r>
            <a:rPr lang="en-US" sz="2000" b="0" baseline="0">
              <a:solidFill>
                <a:srgbClr val="BC0000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Notes:</a:t>
          </a:r>
        </a:p>
        <a:p>
          <a:endParaRPr lang="en-US" sz="12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Two groups of mice were tested, Control and Experiment, Males. </a:t>
          </a:r>
        </a:p>
        <a:p>
          <a:endParaRPr lang="en-US" sz="1400" b="1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All mice were purchased from JAX (000664) and transferred to the Core at 8-9 weeks of age. After 16 weeks of HFD feeding plus 3 weeks of stress induction, the Core performed behavioral tests.</a:t>
          </a:r>
        </a:p>
        <a:p>
          <a:endParaRPr lang="en-US" sz="1400" b="1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Group or individual mouse tracing maps are available upon request.  </a:t>
          </a:r>
        </a:p>
        <a:p>
          <a:endParaRPr lang="en-US" sz="11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1" baseline="0">
              <a:latin typeface="Arial" panose="020B0604020202020204" pitchFamily="34" charset="0"/>
              <a:cs typeface="Arial" panose="020B0604020202020204" pitchFamily="34" charset="0"/>
            </a:rPr>
            <a:t>Mice 405 &amp; 408 were dead before behavioral tests.</a:t>
          </a:r>
        </a:p>
        <a:p>
          <a:endParaRPr lang="en-US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1</xdr:rowOff>
    </xdr:from>
    <xdr:to>
      <xdr:col>23</xdr:col>
      <xdr:colOff>9525</xdr:colOff>
      <xdr:row>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40E2ED-D6A0-412C-AEA1-B22E8B55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15782925" cy="2158999"/>
        </a:xfrm>
        <a:prstGeom prst="rect">
          <a:avLst/>
        </a:prstGeom>
      </xdr:spPr>
    </xdr:pic>
    <xdr:clientData/>
  </xdr:twoCellAnchor>
  <xdr:twoCellAnchor>
    <xdr:from>
      <xdr:col>5</xdr:col>
      <xdr:colOff>361950</xdr:colOff>
      <xdr:row>16</xdr:row>
      <xdr:rowOff>95250</xdr:rowOff>
    </xdr:from>
    <xdr:to>
      <xdr:col>14</xdr:col>
      <xdr:colOff>107950</xdr:colOff>
      <xdr:row>19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D18769-E361-F9F4-6CED-AD70219E3AC8}"/>
            </a:ext>
          </a:extLst>
        </xdr:cNvPr>
        <xdr:cNvSpPr txBox="1"/>
      </xdr:nvSpPr>
      <xdr:spPr>
        <a:xfrm>
          <a:off x="3790950" y="4997450"/>
          <a:ext cx="591820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Center Zone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219075</xdr:colOff>
      <xdr:row>4</xdr:row>
      <xdr:rowOff>0</xdr:rowOff>
    </xdr:from>
    <xdr:to>
      <xdr:col>22</xdr:col>
      <xdr:colOff>428625</xdr:colOff>
      <xdr:row>21</xdr:row>
      <xdr:rowOff>96393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228600</xdr:colOff>
      <xdr:row>22</xdr:row>
      <xdr:rowOff>114300</xdr:rowOff>
    </xdr:from>
    <xdr:to>
      <xdr:col>22</xdr:col>
      <xdr:colOff>438150</xdr:colOff>
      <xdr:row>40</xdr:row>
      <xdr:rowOff>29718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0</xdr:row>
      <xdr:rowOff>158750</xdr:rowOff>
    </xdr:from>
    <xdr:to>
      <xdr:col>15</xdr:col>
      <xdr:colOff>19050</xdr:colOff>
      <xdr:row>3</xdr:row>
      <xdr:rowOff>69850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24391-6A01-4706-9355-E4A5D2A08BF2}"/>
            </a:ext>
          </a:extLst>
        </xdr:cNvPr>
        <xdr:cNvSpPr txBox="1"/>
      </xdr:nvSpPr>
      <xdr:spPr>
        <a:xfrm>
          <a:off x="3352800" y="1587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Intermediate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Zone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219075</xdr:colOff>
      <xdr:row>4</xdr:row>
      <xdr:rowOff>0</xdr:rowOff>
    </xdr:from>
    <xdr:to>
      <xdr:col>22</xdr:col>
      <xdr:colOff>428625</xdr:colOff>
      <xdr:row>21</xdr:row>
      <xdr:rowOff>96393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228600</xdr:colOff>
      <xdr:row>22</xdr:row>
      <xdr:rowOff>66675</xdr:rowOff>
    </xdr:from>
    <xdr:to>
      <xdr:col>22</xdr:col>
      <xdr:colOff>438150</xdr:colOff>
      <xdr:row>39</xdr:row>
      <xdr:rowOff>163068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628650</xdr:colOff>
      <xdr:row>0</xdr:row>
      <xdr:rowOff>133350</xdr:rowOff>
    </xdr:from>
    <xdr:to>
      <xdr:col>15</xdr:col>
      <xdr:colOff>38100</xdr:colOff>
      <xdr:row>3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900EF-63D8-48BB-97F6-41E91170C689}"/>
            </a:ext>
          </a:extLst>
        </xdr:cNvPr>
        <xdr:cNvSpPr txBox="1"/>
      </xdr:nvSpPr>
      <xdr:spPr>
        <a:xfrm>
          <a:off x="3371850" y="1333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and Frequency in Outer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Zone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238125</xdr:colOff>
      <xdr:row>3</xdr:row>
      <xdr:rowOff>257174</xdr:rowOff>
    </xdr:from>
    <xdr:to>
      <xdr:col>22</xdr:col>
      <xdr:colOff>447675</xdr:colOff>
      <xdr:row>21</xdr:row>
      <xdr:rowOff>95249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247650</xdr:colOff>
      <xdr:row>22</xdr:row>
      <xdr:rowOff>85725</xdr:rowOff>
    </xdr:from>
    <xdr:to>
      <xdr:col>22</xdr:col>
      <xdr:colOff>457200</xdr:colOff>
      <xdr:row>40</xdr:row>
      <xdr:rowOff>1143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0</xdr:row>
      <xdr:rowOff>107950</xdr:rowOff>
    </xdr:from>
    <xdr:to>
      <xdr:col>15</xdr:col>
      <xdr:colOff>12700</xdr:colOff>
      <xdr:row>3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9FCA43-3E2C-4E5D-B5FB-035F07DB789B}"/>
            </a:ext>
          </a:extLst>
        </xdr:cNvPr>
        <xdr:cNvSpPr txBox="1"/>
      </xdr:nvSpPr>
      <xdr:spPr>
        <a:xfrm>
          <a:off x="3346450" y="1079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Time in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Moving vs. Not Moving</a:t>
          </a:r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234950</xdr:colOff>
      <xdr:row>4</xdr:row>
      <xdr:rowOff>4762</xdr:rowOff>
    </xdr:from>
    <xdr:to>
      <xdr:col>22</xdr:col>
      <xdr:colOff>444500</xdr:colOff>
      <xdr:row>21</xdr:row>
      <xdr:rowOff>101155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255587</xdr:colOff>
      <xdr:row>24</xdr:row>
      <xdr:rowOff>26987</xdr:rowOff>
    </xdr:from>
    <xdr:to>
      <xdr:col>22</xdr:col>
      <xdr:colOff>465137</xdr:colOff>
      <xdr:row>41</xdr:row>
      <xdr:rowOff>123380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0</xdr:row>
      <xdr:rowOff>107950</xdr:rowOff>
    </xdr:from>
    <xdr:to>
      <xdr:col>15</xdr:col>
      <xdr:colOff>19050</xdr:colOff>
      <xdr:row>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E80528-DD13-4CA3-997C-A0AEE12A53B2}"/>
            </a:ext>
          </a:extLst>
        </xdr:cNvPr>
        <xdr:cNvSpPr txBox="1"/>
      </xdr:nvSpPr>
      <xdr:spPr>
        <a:xfrm>
          <a:off x="3352800" y="107950"/>
          <a:ext cx="69532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0000CC"/>
              </a:solidFill>
              <a:latin typeface="Arial Rounded MT Bold" panose="020F0704030504030204" pitchFamily="34" charset="0"/>
            </a:rPr>
            <a:t>Moving Distance and Velocity</a:t>
          </a:r>
          <a:r>
            <a:rPr lang="en-US" sz="2400" baseline="0">
              <a:solidFill>
                <a:srgbClr val="0000CC"/>
              </a:solidFill>
              <a:latin typeface="Arial Rounded MT Bold" panose="020F0704030504030204" pitchFamily="34" charset="0"/>
            </a:rPr>
            <a:t> </a:t>
          </a:r>
          <a:endParaRPr lang="en-US" sz="2400">
            <a:solidFill>
              <a:srgbClr val="0000CC"/>
            </a:solidFill>
            <a:latin typeface="Arial Rounded MT Bold" panose="020F07040305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9524</xdr:rowOff>
    </xdr:from>
    <xdr:to>
      <xdr:col>22</xdr:col>
      <xdr:colOff>677036</xdr:colOff>
      <xdr:row>35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9524" y="2019299"/>
          <a:ext cx="15755112" cy="6524626"/>
        </a:xfrm>
        <a:prstGeom prst="rect">
          <a:avLst/>
        </a:prstGeom>
        <a:solidFill>
          <a:schemeClr val="lt1"/>
        </a:solidFill>
        <a:ln w="19050" cmpd="sng">
          <a:solidFill>
            <a:srgbClr val="0000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0099"/>
              </a:solidFill>
              <a:latin typeface="+mn-lt"/>
            </a:rPr>
            <a:t>					</a:t>
          </a:r>
        </a:p>
        <a:p>
          <a:r>
            <a:rPr lang="en-US" sz="2400">
              <a:solidFill>
                <a:srgbClr val="000099"/>
              </a:solidFill>
              <a:latin typeface="Arial Rounded MT Bold" panose="020F0704030504030204" pitchFamily="34" charset="0"/>
            </a:rPr>
            <a:t>					I. Experimental Procedures</a:t>
          </a:r>
          <a:r>
            <a:rPr lang="en-US" sz="24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 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1.   Background</a:t>
          </a:r>
        </a:p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open field test (OFT) is commonly used for measuring exploratory behavior, general locomotor activity, and anxiety-related emotional behaviors. As rodents often show distinct aversions to large, brightly lit, open and unknown environments,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ncreased, anxiety-like behavior in a mouse when exposed to such envionments is displayed by more time spent in the outer zone(s), fewer enteries into the center zone, and overall less exploratory tendencies. 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2.  Experimental</a:t>
          </a:r>
          <a:r>
            <a:rPr lang="en-US" sz="18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</a:t>
          </a:r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Setup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EthoVision XT by Noldus was used to record, track, and analyze all videos. Three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zones, i.e., o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uter, intermediate, and center zones, were outlined using the software. The OFT chamber was a squared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chamber, 43x43x30 (cm3),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made of dark grey plastic.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Room temperature, humidity, lighting, and background noise were kept consistent thoughout the experiment. </a:t>
          </a:r>
          <a:endParaRPr lang="en-US" sz="14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3.  Procedures</a:t>
          </a:r>
        </a:p>
        <a:p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Mice were brought to the test room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 their home cage at least an hour before the test. Tests were begun by placing each mouse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the center of the open field chamber. Video recording began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three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seconds after the mouse was detected in the arena and continued for 30 minutes. Four mice (in four separated chambers)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were run at a time. When the test was finished, mice were removed and returned to their home cage. The open field chambers were wiped down after each trial with 70%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ethanol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and cleaned with water</a:t>
          </a:r>
          <a:r>
            <a:rPr lang="en-US" sz="1400" b="0" i="0" u="none" strike="noStrik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 eliminate odor</a:t>
          </a:r>
          <a:r>
            <a:rPr lang="en-US" sz="1400" b="0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800" b="0" i="0" u="none" strike="noStrike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4.</a:t>
          </a:r>
          <a:r>
            <a:rPr lang="en-US" sz="18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  Data analysis</a:t>
          </a:r>
        </a:p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Total distance, average velocity, time spent in each zone, movement, and rearing were calculated. </a:t>
          </a:r>
        </a:p>
        <a:p>
          <a:endParaRPr lang="en-US" sz="1400" b="0" i="0" u="none" strike="noStrik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400" b="0" i="0" u="none" strike="noStrike" baseline="0">
              <a:solidFill>
                <a:srgbClr val="000099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						II.   References</a:t>
          </a:r>
          <a:r>
            <a:rPr lang="en-US" sz="2400">
              <a:solidFill>
                <a:srgbClr val="000099"/>
              </a:solidFill>
              <a:latin typeface="Arial Rounded MT Bold" panose="020F0704030504030204" pitchFamily="34" charset="0"/>
            </a:rPr>
            <a:t> </a:t>
          </a:r>
        </a:p>
        <a:p>
          <a:endParaRPr lang="en-US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1.  Seibenhener ML, Wooten MC. Use of the Open Field Maze to Measure Locomotor and Anxiety-like Behavior in Mice. Journal of Visualized Experiments : JoVE. 2015;(96):52434. </a:t>
          </a:r>
        </a:p>
        <a:p>
          <a:endParaRPr lang="en-US" sz="1000" b="0">
            <a:latin typeface="Arial Rounded MT Bold" panose="020F0704030504030204" pitchFamily="34" charset="0"/>
            <a:cs typeface="Arial" panose="020B0604020202020204" pitchFamily="34" charset="0"/>
          </a:endParaRPr>
        </a:p>
        <a:p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2.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Todd D. Gould, David T. Dao, and Colleen E. Kovacsics. Chapter 1: The Open Field Test. Mood and Anxiety Related Phenotypes in Mice, characterization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using behavioral tests, </a:t>
          </a:r>
        </a:p>
        <a:p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    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Neuromethods Book Series</a:t>
          </a:r>
          <a:r>
            <a:rPr lang="en-US" sz="1400" b="0" baseline="0">
              <a:latin typeface="Arial Rounded MT Bold" panose="020F0704030504030204" pitchFamily="34" charset="0"/>
              <a:cs typeface="Arial" panose="020B0604020202020204" pitchFamily="34" charset="0"/>
            </a:rPr>
            <a:t> </a:t>
          </a:r>
          <a:r>
            <a:rPr lang="en-US" sz="1400" b="0">
              <a:latin typeface="Arial Rounded MT Bold" panose="020F0704030504030204" pitchFamily="34" charset="0"/>
              <a:cs typeface="Arial" panose="020B0604020202020204" pitchFamily="34" charset="0"/>
            </a:rPr>
            <a:t>(Vol 42), 2009.     </a:t>
          </a:r>
        </a:p>
        <a:p>
          <a:endParaRPr lang="en-US" sz="1400" b="1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/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8"/>
  <sheetViews>
    <sheetView tabSelected="1" zoomScaleNormal="100" workbookViewId="0">
      <selection activeCell="A16" sqref="A16"/>
    </sheetView>
  </sheetViews>
  <sheetFormatPr defaultColWidth="9" defaultRowHeight="14.25" customHeight="1" x14ac:dyDescent="0.2"/>
  <cols>
    <col min="1" max="16384" width="9" style="2"/>
  </cols>
  <sheetData>
    <row r="1" spans="1:23" ht="170.1" customHeight="1" x14ac:dyDescent="0.2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9"/>
      <c r="V1" s="70"/>
      <c r="W1" s="71"/>
    </row>
    <row r="2" spans="1:23" ht="20.100000000000001" customHeight="1" x14ac:dyDescent="0.25">
      <c r="A2" s="210" t="s">
        <v>0</v>
      </c>
      <c r="B2" s="211"/>
      <c r="C2" s="211"/>
      <c r="D2" s="211"/>
      <c r="E2" s="211"/>
      <c r="F2" s="211"/>
      <c r="G2" s="212"/>
      <c r="H2" s="210" t="s">
        <v>1</v>
      </c>
      <c r="I2" s="211"/>
      <c r="J2" s="211"/>
      <c r="K2" s="211"/>
      <c r="L2" s="211"/>
      <c r="M2" s="211"/>
      <c r="N2" s="212"/>
      <c r="O2" s="210" t="s">
        <v>2</v>
      </c>
      <c r="P2" s="211"/>
      <c r="Q2" s="211"/>
      <c r="R2" s="211"/>
      <c r="S2" s="211"/>
      <c r="T2" s="211"/>
      <c r="U2" s="211"/>
      <c r="V2" s="211"/>
      <c r="W2" s="212"/>
    </row>
    <row r="3" spans="1:23" ht="14.25" customHeight="1" x14ac:dyDescent="0.2">
      <c r="A3" s="63" t="s">
        <v>3</v>
      </c>
      <c r="B3" s="64"/>
      <c r="C3" s="64"/>
      <c r="D3" s="65" t="s">
        <v>4</v>
      </c>
      <c r="E3" s="64"/>
      <c r="F3" s="64"/>
      <c r="G3" s="66"/>
      <c r="H3" s="3" t="s">
        <v>11</v>
      </c>
      <c r="I3" s="4"/>
      <c r="J3" s="4"/>
      <c r="K3" s="4" t="s">
        <v>12</v>
      </c>
      <c r="L3" s="4"/>
      <c r="M3" s="4"/>
      <c r="N3" s="6"/>
      <c r="O3" s="3" t="s">
        <v>25</v>
      </c>
      <c r="P3" s="4"/>
      <c r="Q3" s="4"/>
      <c r="R3" s="4"/>
      <c r="S3" s="4"/>
      <c r="T3" s="4"/>
      <c r="U3" s="4"/>
      <c r="V3" s="4"/>
      <c r="W3" s="6"/>
    </row>
    <row r="4" spans="1:23" ht="14.25" customHeight="1" x14ac:dyDescent="0.2">
      <c r="A4" s="3" t="s">
        <v>5</v>
      </c>
      <c r="B4" s="4"/>
      <c r="C4" s="4"/>
      <c r="D4" s="7">
        <v>0.5</v>
      </c>
      <c r="E4" s="4"/>
      <c r="F4" s="4"/>
      <c r="G4" s="6"/>
      <c r="H4" s="3" t="s">
        <v>13</v>
      </c>
      <c r="I4" s="4"/>
      <c r="J4" s="4"/>
      <c r="K4" s="4" t="s">
        <v>14</v>
      </c>
      <c r="L4" s="4"/>
      <c r="M4" s="4"/>
      <c r="N4" s="6"/>
      <c r="O4" s="3" t="s">
        <v>31</v>
      </c>
      <c r="P4" s="4"/>
      <c r="Q4" s="4"/>
      <c r="R4" s="4"/>
      <c r="S4" s="4"/>
      <c r="T4" s="4"/>
      <c r="U4" s="4"/>
      <c r="V4" s="4"/>
      <c r="W4" s="6"/>
    </row>
    <row r="5" spans="1:23" ht="14.25" customHeight="1" x14ac:dyDescent="0.2">
      <c r="A5" s="3" t="s">
        <v>6</v>
      </c>
      <c r="B5" s="4"/>
      <c r="C5" s="4"/>
      <c r="D5" s="5" t="s">
        <v>61</v>
      </c>
      <c r="E5" s="4"/>
      <c r="F5" s="4"/>
      <c r="G5" s="6"/>
      <c r="H5" s="3" t="s">
        <v>15</v>
      </c>
      <c r="I5" s="4"/>
      <c r="J5" s="4"/>
      <c r="K5" s="4" t="s">
        <v>16</v>
      </c>
      <c r="L5" s="4"/>
      <c r="M5" s="4"/>
      <c r="N5" s="6"/>
      <c r="O5" s="3"/>
      <c r="P5" s="4"/>
      <c r="Q5" s="4"/>
      <c r="R5" s="4"/>
      <c r="S5" s="4"/>
      <c r="T5" s="4"/>
      <c r="U5" s="4"/>
      <c r="V5" s="4"/>
      <c r="W5" s="6"/>
    </row>
    <row r="6" spans="1:23" ht="14.25" customHeight="1" x14ac:dyDescent="0.2">
      <c r="A6" s="3" t="s">
        <v>7</v>
      </c>
      <c r="B6" s="4"/>
      <c r="C6" s="4"/>
      <c r="D6" s="177" t="s">
        <v>73</v>
      </c>
      <c r="E6" s="4"/>
      <c r="F6" s="4"/>
      <c r="G6" s="6"/>
      <c r="H6" s="3"/>
      <c r="I6" s="4"/>
      <c r="J6" s="4"/>
      <c r="K6" s="4" t="s">
        <v>17</v>
      </c>
      <c r="L6" s="4"/>
      <c r="M6" s="4"/>
      <c r="N6" s="6"/>
      <c r="O6" s="3" t="s">
        <v>26</v>
      </c>
      <c r="P6" s="4"/>
      <c r="Q6" s="4"/>
      <c r="R6" s="4"/>
      <c r="S6" s="4"/>
      <c r="T6" s="4"/>
      <c r="U6" s="4"/>
      <c r="V6" s="4"/>
      <c r="W6" s="6"/>
    </row>
    <row r="7" spans="1:23" ht="14.25" customHeight="1" x14ac:dyDescent="0.2">
      <c r="A7" s="3" t="s">
        <v>8</v>
      </c>
      <c r="B7" s="4"/>
      <c r="C7" s="4"/>
      <c r="D7" s="5" t="s">
        <v>74</v>
      </c>
      <c r="E7" s="4"/>
      <c r="F7" s="4"/>
      <c r="G7" s="6"/>
      <c r="H7" s="3" t="s">
        <v>18</v>
      </c>
      <c r="I7" s="4"/>
      <c r="J7" s="4"/>
      <c r="K7" s="4" t="s">
        <v>19</v>
      </c>
      <c r="L7" s="4"/>
      <c r="M7" s="4"/>
      <c r="N7" s="6"/>
      <c r="O7" s="3" t="s">
        <v>62</v>
      </c>
      <c r="P7" s="4"/>
      <c r="Q7" s="4"/>
      <c r="R7" s="4"/>
      <c r="S7" s="4"/>
      <c r="T7" s="4"/>
      <c r="U7" s="4"/>
      <c r="V7" s="4"/>
      <c r="W7" s="6"/>
    </row>
    <row r="8" spans="1:23" ht="14.25" customHeight="1" x14ac:dyDescent="0.2">
      <c r="A8" s="3" t="s">
        <v>9</v>
      </c>
      <c r="B8" s="4"/>
      <c r="C8" s="4"/>
      <c r="D8" s="178" t="s">
        <v>85</v>
      </c>
      <c r="E8" s="4"/>
      <c r="F8" s="4"/>
      <c r="G8" s="6"/>
      <c r="H8" s="3" t="s">
        <v>20</v>
      </c>
      <c r="I8" s="4"/>
      <c r="J8" s="4"/>
      <c r="K8" s="4" t="s">
        <v>63</v>
      </c>
      <c r="L8" s="4"/>
      <c r="M8" s="4"/>
      <c r="N8" s="6"/>
      <c r="O8" s="3"/>
      <c r="P8" s="4"/>
      <c r="Q8" s="4"/>
      <c r="R8" s="4"/>
      <c r="S8" s="4"/>
      <c r="T8" s="4"/>
      <c r="U8" s="4"/>
      <c r="V8" s="4"/>
      <c r="W8" s="6"/>
    </row>
    <row r="9" spans="1:23" ht="14.25" customHeight="1" x14ac:dyDescent="0.2">
      <c r="A9" s="3"/>
      <c r="B9" s="4"/>
      <c r="C9" s="4"/>
      <c r="D9" s="178" t="s">
        <v>86</v>
      </c>
      <c r="E9" s="4"/>
      <c r="F9" s="4"/>
      <c r="G9" s="6"/>
      <c r="H9" s="3"/>
      <c r="I9" s="4"/>
      <c r="J9" s="4"/>
      <c r="K9" s="4" t="s">
        <v>21</v>
      </c>
      <c r="L9" s="4"/>
      <c r="M9" s="4"/>
      <c r="N9" s="6"/>
      <c r="O9" s="3" t="s">
        <v>27</v>
      </c>
      <c r="P9" s="4"/>
      <c r="Q9" s="4"/>
      <c r="R9" s="4"/>
      <c r="S9" s="4"/>
      <c r="T9" s="4"/>
      <c r="U9" s="4"/>
      <c r="V9" s="4"/>
      <c r="W9" s="6"/>
    </row>
    <row r="10" spans="1:23" ht="14.25" customHeight="1" x14ac:dyDescent="0.2">
      <c r="A10" s="180" t="s">
        <v>75</v>
      </c>
      <c r="B10" s="4"/>
      <c r="C10" s="4"/>
      <c r="D10" s="179" t="s">
        <v>84</v>
      </c>
      <c r="E10" s="178"/>
      <c r="F10" s="204"/>
      <c r="G10" s="6"/>
      <c r="H10" s="3" t="s">
        <v>22</v>
      </c>
      <c r="I10" s="4"/>
      <c r="J10" s="4"/>
      <c r="K10" s="4" t="s">
        <v>23</v>
      </c>
      <c r="L10" s="4"/>
      <c r="M10" s="4"/>
      <c r="N10" s="6"/>
      <c r="O10" s="3" t="s">
        <v>28</v>
      </c>
      <c r="P10" s="4"/>
      <c r="Q10" s="4"/>
      <c r="R10" s="4"/>
      <c r="S10" s="4"/>
      <c r="T10" s="4"/>
      <c r="U10" s="4"/>
      <c r="V10" s="4"/>
      <c r="W10" s="6"/>
    </row>
    <row r="11" spans="1:23" ht="14.25" customHeight="1" x14ac:dyDescent="0.2">
      <c r="A11" s="180" t="s">
        <v>76</v>
      </c>
      <c r="B11" s="4"/>
      <c r="C11" s="4"/>
      <c r="D11" s="179" t="s">
        <v>83</v>
      </c>
      <c r="E11" s="4"/>
      <c r="F11" s="204"/>
      <c r="G11" s="6"/>
      <c r="H11" s="3"/>
      <c r="I11" s="4"/>
      <c r="J11" s="4"/>
      <c r="K11" s="4" t="s">
        <v>24</v>
      </c>
      <c r="L11" s="4"/>
      <c r="M11" s="4"/>
      <c r="N11" s="6"/>
      <c r="O11" s="50" t="s">
        <v>72</v>
      </c>
      <c r="P11" s="4"/>
      <c r="Q11" s="4"/>
      <c r="R11" s="4"/>
      <c r="S11" s="4"/>
      <c r="T11" s="4"/>
      <c r="U11" s="4"/>
      <c r="V11" s="4"/>
      <c r="W11" s="6"/>
    </row>
    <row r="12" spans="1:23" ht="14.25" customHeight="1" x14ac:dyDescent="0.2">
      <c r="A12" s="3" t="s">
        <v>77</v>
      </c>
      <c r="B12" s="4"/>
      <c r="C12" s="4"/>
      <c r="D12" s="178" t="s">
        <v>68</v>
      </c>
      <c r="E12" s="178"/>
      <c r="F12" s="178"/>
      <c r="G12" s="6"/>
      <c r="H12" s="3"/>
      <c r="I12" s="4"/>
      <c r="J12" s="4"/>
      <c r="K12" s="4"/>
      <c r="L12" s="4"/>
      <c r="M12" s="4"/>
      <c r="N12" s="6"/>
      <c r="O12" s="3"/>
      <c r="P12" s="4"/>
      <c r="Q12" s="4"/>
      <c r="R12" s="4"/>
      <c r="S12" s="4"/>
      <c r="T12" s="4"/>
      <c r="U12" s="4"/>
      <c r="V12" s="4"/>
      <c r="W12" s="6"/>
    </row>
    <row r="13" spans="1:23" ht="14.25" customHeight="1" x14ac:dyDescent="0.2">
      <c r="A13" s="3" t="s">
        <v>81</v>
      </c>
      <c r="B13" s="4"/>
      <c r="C13" s="4"/>
      <c r="D13" s="4" t="s">
        <v>69</v>
      </c>
      <c r="E13" s="4"/>
      <c r="F13" s="4"/>
      <c r="G13" s="6"/>
      <c r="H13" s="3"/>
      <c r="I13" s="4"/>
      <c r="J13" s="4"/>
      <c r="K13" s="4"/>
      <c r="L13" s="4"/>
      <c r="M13" s="4"/>
      <c r="N13" s="6"/>
      <c r="O13" s="3" t="s">
        <v>29</v>
      </c>
      <c r="P13" s="4"/>
      <c r="Q13" s="4"/>
      <c r="R13" s="4"/>
      <c r="S13" s="4"/>
      <c r="T13" s="4"/>
      <c r="U13" s="4"/>
      <c r="V13" s="4"/>
      <c r="W13" s="6"/>
    </row>
    <row r="14" spans="1:23" ht="14.25" customHeight="1" x14ac:dyDescent="0.2">
      <c r="A14" s="3" t="s">
        <v>78</v>
      </c>
      <c r="B14" s="4"/>
      <c r="C14" s="4"/>
      <c r="D14" s="4" t="s">
        <v>10</v>
      </c>
      <c r="E14" s="4"/>
      <c r="F14" s="4"/>
      <c r="G14" s="6"/>
      <c r="H14" s="3"/>
      <c r="I14" s="4"/>
      <c r="J14" s="4"/>
      <c r="K14" s="4"/>
      <c r="L14" s="4"/>
      <c r="M14" s="4"/>
      <c r="N14" s="6"/>
      <c r="O14" s="3" t="s">
        <v>30</v>
      </c>
      <c r="P14" s="4"/>
      <c r="Q14" s="4"/>
      <c r="R14" s="4"/>
      <c r="S14" s="4"/>
      <c r="T14" s="4"/>
      <c r="U14" s="4"/>
      <c r="V14" s="4"/>
      <c r="W14" s="6"/>
    </row>
    <row r="15" spans="1:23" ht="14.25" customHeight="1" x14ac:dyDescent="0.2">
      <c r="A15" s="8" t="s">
        <v>79</v>
      </c>
      <c r="B15" s="9"/>
      <c r="C15" s="9"/>
      <c r="D15" s="9" t="s">
        <v>70</v>
      </c>
      <c r="E15" s="9"/>
      <c r="F15" s="9"/>
      <c r="G15" s="10"/>
      <c r="H15" s="8"/>
      <c r="I15" s="9"/>
      <c r="J15" s="9"/>
      <c r="K15" s="9"/>
      <c r="L15" s="9"/>
      <c r="M15" s="9"/>
      <c r="N15" s="10"/>
      <c r="O15" s="8"/>
      <c r="P15" s="9"/>
      <c r="Q15" s="9"/>
      <c r="R15" s="9"/>
      <c r="S15" s="9"/>
      <c r="T15" s="9"/>
      <c r="U15" s="9"/>
      <c r="V15" s="9"/>
      <c r="W15" s="10"/>
    </row>
    <row r="17" spans="1:23" ht="14.25" customHeight="1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</row>
    <row r="18" spans="1:23" ht="14.25" customHeight="1" x14ac:dyDescent="0.2">
      <c r="A18" s="72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9"/>
    </row>
    <row r="19" spans="1:23" x14ac:dyDescent="0.2">
      <c r="A19" s="215" t="s">
        <v>82</v>
      </c>
      <c r="B19" s="215"/>
      <c r="C19" s="215"/>
      <c r="D19" s="21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9"/>
    </row>
    <row r="20" spans="1:23" ht="14.25" customHeight="1" x14ac:dyDescent="0.2">
      <c r="A20" s="216"/>
      <c r="B20" s="216"/>
      <c r="C20" s="216"/>
      <c r="D20" s="216"/>
      <c r="E20" s="17"/>
      <c r="F20" s="17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9"/>
    </row>
    <row r="21" spans="1:23" ht="14.25" customHeight="1" x14ac:dyDescent="0.2">
      <c r="A21" s="20"/>
      <c r="B21" s="21"/>
      <c r="C21" s="21"/>
      <c r="D21" s="22"/>
      <c r="E21" s="213" t="s">
        <v>32</v>
      </c>
      <c r="F21" s="214"/>
      <c r="G21" s="213" t="s">
        <v>33</v>
      </c>
      <c r="H21" s="214"/>
      <c r="I21" s="213" t="s">
        <v>34</v>
      </c>
      <c r="J21" s="214"/>
      <c r="K21" s="213" t="s">
        <v>35</v>
      </c>
      <c r="L21" s="214"/>
      <c r="M21" s="213" t="s">
        <v>36</v>
      </c>
      <c r="N21" s="214"/>
      <c r="O21" s="213" t="s">
        <v>37</v>
      </c>
      <c r="P21" s="214"/>
      <c r="Q21" s="213" t="s">
        <v>38</v>
      </c>
      <c r="R21" s="214"/>
      <c r="S21" s="17"/>
      <c r="T21" s="17"/>
      <c r="U21" s="17"/>
      <c r="V21" s="17"/>
      <c r="W21" s="19"/>
    </row>
    <row r="22" spans="1:23" ht="14.25" customHeight="1" x14ac:dyDescent="0.2">
      <c r="A22" s="23"/>
      <c r="B22" s="24"/>
      <c r="C22" s="24"/>
      <c r="D22" s="25"/>
      <c r="E22" s="26" t="s">
        <v>39</v>
      </c>
      <c r="F22" s="46" t="s">
        <v>40</v>
      </c>
      <c r="G22" s="26" t="s">
        <v>39</v>
      </c>
      <c r="H22" s="47" t="s">
        <v>40</v>
      </c>
      <c r="I22" s="48" t="s">
        <v>39</v>
      </c>
      <c r="J22" s="46" t="s">
        <v>40</v>
      </c>
      <c r="K22" s="26" t="s">
        <v>39</v>
      </c>
      <c r="L22" s="47" t="s">
        <v>40</v>
      </c>
      <c r="M22" s="26" t="s">
        <v>39</v>
      </c>
      <c r="N22" s="47" t="s">
        <v>40</v>
      </c>
      <c r="O22" s="26" t="s">
        <v>39</v>
      </c>
      <c r="P22" s="47" t="s">
        <v>40</v>
      </c>
      <c r="Q22" s="26" t="s">
        <v>39</v>
      </c>
      <c r="R22" s="47" t="s">
        <v>40</v>
      </c>
      <c r="S22" s="17"/>
      <c r="T22" s="17"/>
      <c r="U22" s="17"/>
      <c r="V22" s="17"/>
      <c r="W22" s="19"/>
    </row>
    <row r="23" spans="1:23" ht="14.25" customHeight="1" x14ac:dyDescent="0.25">
      <c r="A23" s="29"/>
      <c r="B23" s="30" t="s">
        <v>41</v>
      </c>
      <c r="C23" s="30" t="s">
        <v>42</v>
      </c>
      <c r="D23" s="31" t="s">
        <v>43</v>
      </c>
      <c r="E23" s="32" t="s">
        <v>44</v>
      </c>
      <c r="F23" s="33" t="s">
        <v>45</v>
      </c>
      <c r="G23" s="32" t="s">
        <v>44</v>
      </c>
      <c r="H23" s="32" t="s">
        <v>45</v>
      </c>
      <c r="I23" s="49" t="s">
        <v>44</v>
      </c>
      <c r="J23" s="33" t="s">
        <v>45</v>
      </c>
      <c r="K23" s="32" t="s">
        <v>44</v>
      </c>
      <c r="L23" s="32" t="s">
        <v>45</v>
      </c>
      <c r="M23" s="32" t="s">
        <v>44</v>
      </c>
      <c r="N23" s="32" t="s">
        <v>45</v>
      </c>
      <c r="O23" s="32" t="s">
        <v>44</v>
      </c>
      <c r="P23" s="32" t="s">
        <v>45</v>
      </c>
      <c r="Q23" s="32" t="s">
        <v>44</v>
      </c>
      <c r="R23" s="32" t="s">
        <v>45</v>
      </c>
      <c r="S23" s="17"/>
      <c r="T23" s="17"/>
      <c r="U23" s="17"/>
      <c r="V23" s="17"/>
      <c r="W23" s="19"/>
    </row>
    <row r="24" spans="1:23" ht="14.25" customHeight="1" x14ac:dyDescent="0.2">
      <c r="A24" s="34" t="s">
        <v>46</v>
      </c>
      <c r="B24" s="73">
        <v>1</v>
      </c>
      <c r="C24" s="74" t="s">
        <v>80</v>
      </c>
      <c r="D24" s="181">
        <v>497</v>
      </c>
      <c r="E24" s="75">
        <v>9.4554600000000004</v>
      </c>
      <c r="F24" s="76">
        <v>21</v>
      </c>
      <c r="G24" s="75">
        <v>13.299899999999999</v>
      </c>
      <c r="H24" s="76">
        <v>16</v>
      </c>
      <c r="I24" s="77">
        <v>20.133099999999999</v>
      </c>
      <c r="J24" s="78">
        <v>23</v>
      </c>
      <c r="K24" s="75">
        <v>20.348199999999999</v>
      </c>
      <c r="L24" s="76">
        <v>24</v>
      </c>
      <c r="M24" s="77">
        <v>19.184699999999999</v>
      </c>
      <c r="N24" s="78">
        <v>22</v>
      </c>
      <c r="O24" s="75">
        <v>20.122</v>
      </c>
      <c r="P24" s="78">
        <v>17</v>
      </c>
      <c r="Q24" s="75">
        <f>AVERAGE(E24,G24,I24,K24,M24,O24)</f>
        <v>17.09056</v>
      </c>
      <c r="R24" s="76">
        <f>SUM(F24,H24,J24,L24,N24,P24)</f>
        <v>123</v>
      </c>
      <c r="S24" s="17"/>
      <c r="T24" s="17"/>
      <c r="U24" s="17"/>
      <c r="V24" s="17"/>
      <c r="W24" s="19"/>
    </row>
    <row r="25" spans="1:23" ht="14.25" customHeight="1" x14ac:dyDescent="0.2">
      <c r="A25" s="206" t="s">
        <v>87</v>
      </c>
      <c r="B25" s="79">
        <v>2</v>
      </c>
      <c r="C25" s="74" t="s">
        <v>80</v>
      </c>
      <c r="D25" s="181">
        <v>498</v>
      </c>
      <c r="E25" s="80">
        <v>2.7565300000000001</v>
      </c>
      <c r="F25" s="81">
        <v>8</v>
      </c>
      <c r="G25" s="80">
        <v>8.0433599999999998</v>
      </c>
      <c r="H25" s="81">
        <v>20</v>
      </c>
      <c r="I25" s="82">
        <v>6.3110499999999998</v>
      </c>
      <c r="J25" s="83">
        <v>14</v>
      </c>
      <c r="K25" s="80">
        <v>11.588800000000001</v>
      </c>
      <c r="L25" s="81">
        <v>17</v>
      </c>
      <c r="M25" s="82">
        <v>8.6554699999999993</v>
      </c>
      <c r="N25" s="83">
        <v>12</v>
      </c>
      <c r="O25" s="80">
        <v>12.0059</v>
      </c>
      <c r="P25" s="83">
        <v>17</v>
      </c>
      <c r="Q25" s="80">
        <f t="shared" ref="Q25:Q27" si="0">AVERAGE(E25,G25,I25,K25,M25,O25)</f>
        <v>8.2268516666666667</v>
      </c>
      <c r="R25" s="81">
        <f t="shared" ref="R25:R27" si="1">SUM(F25,H25,J25,L25,N25,P25)</f>
        <v>88</v>
      </c>
      <c r="S25" s="17"/>
      <c r="T25" s="17"/>
      <c r="U25" s="17"/>
      <c r="V25" s="17"/>
      <c r="W25" s="19"/>
    </row>
    <row r="26" spans="1:23" ht="14.25" customHeight="1" x14ac:dyDescent="0.2">
      <c r="A26" s="206"/>
      <c r="B26" s="79">
        <v>3</v>
      </c>
      <c r="C26" s="74" t="s">
        <v>80</v>
      </c>
      <c r="D26" s="181">
        <v>499</v>
      </c>
      <c r="E26" s="80">
        <v>6.5221600000000004</v>
      </c>
      <c r="F26" s="81">
        <v>17</v>
      </c>
      <c r="G26" s="80">
        <v>4.6999500000000003</v>
      </c>
      <c r="H26" s="81">
        <v>11</v>
      </c>
      <c r="I26" s="82">
        <v>8.3776899999999994</v>
      </c>
      <c r="J26" s="83">
        <v>8</v>
      </c>
      <c r="K26" s="80">
        <v>14.4887</v>
      </c>
      <c r="L26" s="81">
        <v>16</v>
      </c>
      <c r="M26" s="82">
        <v>15.3332</v>
      </c>
      <c r="N26" s="83">
        <v>16</v>
      </c>
      <c r="O26" s="80">
        <v>21.166499999999999</v>
      </c>
      <c r="P26" s="83">
        <v>21</v>
      </c>
      <c r="Q26" s="80">
        <f t="shared" si="0"/>
        <v>11.764699999999999</v>
      </c>
      <c r="R26" s="81">
        <f t="shared" si="1"/>
        <v>89</v>
      </c>
      <c r="S26" s="17"/>
      <c r="T26" s="17"/>
      <c r="U26" s="17"/>
      <c r="V26" s="17"/>
      <c r="W26" s="19"/>
    </row>
    <row r="27" spans="1:23" ht="14.25" customHeight="1" x14ac:dyDescent="0.2">
      <c r="A27" s="35"/>
      <c r="B27" s="79">
        <v>4</v>
      </c>
      <c r="C27" s="74" t="s">
        <v>80</v>
      </c>
      <c r="D27" s="181">
        <v>500</v>
      </c>
      <c r="E27" s="80">
        <v>6.8110400000000002</v>
      </c>
      <c r="F27" s="81">
        <v>14</v>
      </c>
      <c r="G27" s="80">
        <v>13.711</v>
      </c>
      <c r="H27" s="81">
        <v>7</v>
      </c>
      <c r="I27" s="82">
        <v>11.688800000000001</v>
      </c>
      <c r="J27" s="83">
        <v>8</v>
      </c>
      <c r="K27" s="80">
        <v>26.455300000000001</v>
      </c>
      <c r="L27" s="81">
        <v>9</v>
      </c>
      <c r="M27" s="82">
        <v>8.0665899999999997</v>
      </c>
      <c r="N27" s="83">
        <v>8</v>
      </c>
      <c r="O27" s="80">
        <v>6.6554900000000004</v>
      </c>
      <c r="P27" s="83">
        <v>2</v>
      </c>
      <c r="Q27" s="80">
        <f t="shared" si="0"/>
        <v>12.23137</v>
      </c>
      <c r="R27" s="81">
        <f t="shared" si="1"/>
        <v>48</v>
      </c>
      <c r="S27" s="17"/>
      <c r="T27" s="17"/>
      <c r="U27" s="17"/>
      <c r="V27" s="17"/>
      <c r="W27" s="19"/>
    </row>
    <row r="28" spans="1:23" ht="14.25" customHeight="1" x14ac:dyDescent="0.2">
      <c r="A28" s="35"/>
      <c r="B28" s="79">
        <v>5</v>
      </c>
      <c r="C28" s="74" t="s">
        <v>80</v>
      </c>
      <c r="D28" s="181">
        <v>585</v>
      </c>
      <c r="E28" s="80">
        <v>7.9110300000000002</v>
      </c>
      <c r="F28" s="81">
        <v>12</v>
      </c>
      <c r="G28" s="80">
        <v>3.93329</v>
      </c>
      <c r="H28" s="81">
        <v>8</v>
      </c>
      <c r="I28" s="82">
        <v>12.9999</v>
      </c>
      <c r="J28" s="83">
        <v>11</v>
      </c>
      <c r="K28" s="80">
        <v>12.244300000000001</v>
      </c>
      <c r="L28" s="81">
        <v>13</v>
      </c>
      <c r="M28" s="82">
        <v>5.3110600000000003</v>
      </c>
      <c r="N28" s="83">
        <v>10</v>
      </c>
      <c r="O28" s="80">
        <v>19.4998</v>
      </c>
      <c r="P28" s="83">
        <v>11</v>
      </c>
      <c r="Q28" s="80">
        <f t="shared" ref="Q28:Q31" si="2">AVERAGE(E28,G28,I28,K28,M28,O28)</f>
        <v>10.316563333333333</v>
      </c>
      <c r="R28" s="81">
        <f t="shared" ref="R28:R31" si="3">SUM(F28,H28,J28,L28,N28,P28)</f>
        <v>65</v>
      </c>
      <c r="S28" s="17"/>
      <c r="T28" s="17"/>
      <c r="U28" s="17"/>
      <c r="V28" s="17"/>
      <c r="W28" s="19"/>
    </row>
    <row r="29" spans="1:23" ht="14.25" customHeight="1" x14ac:dyDescent="0.2">
      <c r="A29" s="35"/>
      <c r="B29" s="79">
        <v>6</v>
      </c>
      <c r="C29" s="74" t="s">
        <v>80</v>
      </c>
      <c r="D29" s="181">
        <v>586</v>
      </c>
      <c r="E29" s="80">
        <v>7.0554899999999998</v>
      </c>
      <c r="F29" s="81">
        <v>15</v>
      </c>
      <c r="G29" s="80">
        <v>3.18886</v>
      </c>
      <c r="H29" s="81">
        <v>9</v>
      </c>
      <c r="I29" s="82">
        <v>6.5221600000000004</v>
      </c>
      <c r="J29" s="83">
        <v>14</v>
      </c>
      <c r="K29" s="80">
        <v>2.2595299999999998</v>
      </c>
      <c r="L29" s="81">
        <v>7</v>
      </c>
      <c r="M29" s="82">
        <v>4.5848399999999998</v>
      </c>
      <c r="N29" s="83">
        <v>10</v>
      </c>
      <c r="O29" s="80">
        <v>3.05552</v>
      </c>
      <c r="P29" s="83">
        <v>3</v>
      </c>
      <c r="Q29" s="80">
        <f t="shared" si="2"/>
        <v>4.4444000000000008</v>
      </c>
      <c r="R29" s="81">
        <f t="shared" si="3"/>
        <v>58</v>
      </c>
      <c r="S29" s="17"/>
      <c r="T29" s="17"/>
      <c r="U29" s="17"/>
      <c r="V29" s="17"/>
      <c r="W29" s="19"/>
    </row>
    <row r="30" spans="1:23" ht="14.25" customHeight="1" x14ac:dyDescent="0.2">
      <c r="A30" s="35"/>
      <c r="B30" s="79">
        <v>7</v>
      </c>
      <c r="C30" s="74" t="s">
        <v>80</v>
      </c>
      <c r="D30" s="191">
        <v>587</v>
      </c>
      <c r="E30" s="80">
        <v>7.5888099999999996</v>
      </c>
      <c r="F30" s="81">
        <v>11</v>
      </c>
      <c r="G30" s="80">
        <v>8.8221299999999996</v>
      </c>
      <c r="H30" s="81">
        <v>13</v>
      </c>
      <c r="I30" s="82">
        <v>19.144300000000001</v>
      </c>
      <c r="J30" s="83">
        <v>9</v>
      </c>
      <c r="K30" s="80">
        <v>6.9665999999999997</v>
      </c>
      <c r="L30" s="81">
        <v>7</v>
      </c>
      <c r="M30" s="82">
        <v>18.3443</v>
      </c>
      <c r="N30" s="83">
        <v>10</v>
      </c>
      <c r="O30" s="80">
        <v>21.8109</v>
      </c>
      <c r="P30" s="81">
        <v>18</v>
      </c>
      <c r="Q30" s="80">
        <f t="shared" si="2"/>
        <v>13.779506666666668</v>
      </c>
      <c r="R30" s="81">
        <f t="shared" si="3"/>
        <v>68</v>
      </c>
      <c r="S30" s="17"/>
      <c r="T30" s="17"/>
      <c r="U30" s="17"/>
      <c r="V30" s="17"/>
      <c r="W30" s="19"/>
    </row>
    <row r="31" spans="1:23" ht="14.25" customHeight="1" x14ac:dyDescent="0.2">
      <c r="A31" s="35"/>
      <c r="B31" s="79">
        <v>8</v>
      </c>
      <c r="C31" s="74" t="s">
        <v>80</v>
      </c>
      <c r="D31" s="191">
        <v>588</v>
      </c>
      <c r="E31" s="80">
        <v>3.79996</v>
      </c>
      <c r="F31" s="81">
        <v>7</v>
      </c>
      <c r="G31" s="80">
        <v>14.5665</v>
      </c>
      <c r="H31" s="86">
        <v>14</v>
      </c>
      <c r="I31" s="82">
        <v>11.4777</v>
      </c>
      <c r="J31" s="83">
        <v>14</v>
      </c>
      <c r="K31" s="80">
        <v>5.7595000000000001</v>
      </c>
      <c r="L31" s="81">
        <v>8</v>
      </c>
      <c r="M31" s="82">
        <v>9.5070200000000007</v>
      </c>
      <c r="N31" s="83">
        <v>11</v>
      </c>
      <c r="O31" s="80">
        <v>10.811</v>
      </c>
      <c r="P31" s="81">
        <v>9</v>
      </c>
      <c r="Q31" s="80">
        <f t="shared" si="2"/>
        <v>9.3202800000000003</v>
      </c>
      <c r="R31" s="81">
        <f t="shared" si="3"/>
        <v>63</v>
      </c>
      <c r="S31" s="17"/>
      <c r="T31" s="17"/>
      <c r="U31" s="17"/>
      <c r="V31" s="17"/>
      <c r="W31" s="19"/>
    </row>
    <row r="32" spans="1:23" ht="14.25" customHeight="1" x14ac:dyDescent="0.2">
      <c r="A32" s="35"/>
      <c r="B32" s="79">
        <v>9</v>
      </c>
      <c r="C32" s="84"/>
      <c r="D32" s="85"/>
      <c r="E32" s="80"/>
      <c r="F32" s="86"/>
      <c r="G32" s="80"/>
      <c r="H32" s="86"/>
      <c r="I32" s="82"/>
      <c r="J32" s="82"/>
      <c r="K32" s="80"/>
      <c r="L32" s="86"/>
      <c r="M32" s="82"/>
      <c r="N32" s="82"/>
      <c r="O32" s="80"/>
      <c r="P32" s="86"/>
      <c r="Q32" s="87"/>
      <c r="R32" s="88"/>
      <c r="S32" s="17"/>
      <c r="T32" s="17"/>
      <c r="U32" s="17"/>
      <c r="V32" s="17"/>
      <c r="W32" s="19"/>
    </row>
    <row r="33" spans="1:23" ht="14.25" customHeight="1" x14ac:dyDescent="0.2">
      <c r="A33" s="35"/>
      <c r="B33" s="192">
        <v>10</v>
      </c>
      <c r="C33" s="193"/>
      <c r="D33" s="194"/>
      <c r="E33" s="80"/>
      <c r="F33" s="86"/>
      <c r="G33" s="89"/>
      <c r="H33" s="90"/>
      <c r="I33" s="82"/>
      <c r="J33" s="82"/>
      <c r="K33" s="89"/>
      <c r="L33" s="90"/>
      <c r="M33" s="82"/>
      <c r="N33" s="82"/>
      <c r="O33" s="89"/>
      <c r="P33" s="90"/>
      <c r="Q33" s="91"/>
      <c r="R33" s="92"/>
      <c r="S33" s="17"/>
      <c r="T33" s="17"/>
      <c r="U33" s="17"/>
      <c r="V33" s="17"/>
      <c r="W33" s="19"/>
    </row>
    <row r="34" spans="1:23" ht="14.25" customHeight="1" x14ac:dyDescent="0.2">
      <c r="A34" s="93"/>
      <c r="B34" s="94"/>
      <c r="C34" s="94"/>
      <c r="D34" s="73" t="s">
        <v>47</v>
      </c>
      <c r="E34" s="95">
        <f>AVERAGE(E24:E33)</f>
        <v>6.4875600000000002</v>
      </c>
      <c r="F34" s="96">
        <f t="shared" ref="F34:R34" si="4">AVERAGE(F24:F33)</f>
        <v>13.125</v>
      </c>
      <c r="G34" s="97">
        <f t="shared" si="4"/>
        <v>8.7831237499999997</v>
      </c>
      <c r="H34" s="98">
        <f t="shared" si="4"/>
        <v>12.25</v>
      </c>
      <c r="I34" s="99">
        <f t="shared" si="4"/>
        <v>12.081837500000001</v>
      </c>
      <c r="J34" s="99">
        <f t="shared" si="4"/>
        <v>12.625</v>
      </c>
      <c r="K34" s="97">
        <f t="shared" si="4"/>
        <v>12.51386625</v>
      </c>
      <c r="L34" s="98">
        <f t="shared" si="4"/>
        <v>12.625</v>
      </c>
      <c r="M34" s="99">
        <f t="shared" si="4"/>
        <v>11.123397499999999</v>
      </c>
      <c r="N34" s="99">
        <f t="shared" si="4"/>
        <v>12.375</v>
      </c>
      <c r="O34" s="97">
        <f t="shared" si="4"/>
        <v>14.390888750000002</v>
      </c>
      <c r="P34" s="98">
        <f t="shared" si="4"/>
        <v>12.25</v>
      </c>
      <c r="Q34" s="100">
        <f t="shared" si="4"/>
        <v>10.896778958333332</v>
      </c>
      <c r="R34" s="98">
        <f t="shared" si="4"/>
        <v>75.25</v>
      </c>
      <c r="S34" s="17"/>
      <c r="T34" s="17"/>
      <c r="U34" s="17"/>
      <c r="V34" s="17"/>
      <c r="W34" s="19"/>
    </row>
    <row r="35" spans="1:23" ht="14.25" customHeight="1" x14ac:dyDescent="0.2">
      <c r="A35" s="93"/>
      <c r="B35" s="94"/>
      <c r="C35" s="94"/>
      <c r="D35" s="73" t="s">
        <v>48</v>
      </c>
      <c r="E35" s="101">
        <f>STDEV(E24:E33)/SQRT(COUNT(E24:E33))</f>
        <v>0.77482265700886954</v>
      </c>
      <c r="F35" s="102">
        <f t="shared" ref="F35:R35" si="5">STDEV(F24:F33)/SQRT(COUNT(F24:F33))</f>
        <v>1.6414007519711411</v>
      </c>
      <c r="G35" s="101">
        <f t="shared" si="5"/>
        <v>1.6375636680653474</v>
      </c>
      <c r="H35" s="102">
        <f t="shared" si="5"/>
        <v>1.5555201243130403</v>
      </c>
      <c r="I35" s="103">
        <f t="shared" si="5"/>
        <v>1.8612410161586395</v>
      </c>
      <c r="J35" s="103">
        <f t="shared" si="5"/>
        <v>1.7519122205668376</v>
      </c>
      <c r="K35" s="101">
        <f t="shared" si="5"/>
        <v>2.8097844998637855</v>
      </c>
      <c r="L35" s="102">
        <f t="shared" si="5"/>
        <v>2.1459055697503824</v>
      </c>
      <c r="M35" s="103">
        <f t="shared" si="5"/>
        <v>2.024104228041161</v>
      </c>
      <c r="N35" s="103">
        <f t="shared" si="5"/>
        <v>1.6028713075513665</v>
      </c>
      <c r="O35" s="101">
        <f t="shared" si="5"/>
        <v>2.5590973520304781</v>
      </c>
      <c r="P35" s="102">
        <f t="shared" si="5"/>
        <v>2.5266437365462844</v>
      </c>
      <c r="Q35" s="103">
        <f t="shared" si="5"/>
        <v>1.3415820080187344</v>
      </c>
      <c r="R35" s="102">
        <f t="shared" si="5"/>
        <v>8.4298576500436813</v>
      </c>
      <c r="S35" s="17"/>
      <c r="T35" s="17"/>
      <c r="U35" s="17"/>
      <c r="V35" s="17"/>
      <c r="W35" s="19"/>
    </row>
    <row r="36" spans="1:23" ht="14.25" customHeight="1" x14ac:dyDescent="0.2">
      <c r="A36" s="36" t="s">
        <v>49</v>
      </c>
      <c r="B36" s="37">
        <v>1</v>
      </c>
      <c r="C36" s="104" t="s">
        <v>80</v>
      </c>
      <c r="D36" s="182">
        <v>473</v>
      </c>
      <c r="E36" s="82">
        <v>4.6777300000000004</v>
      </c>
      <c r="F36" s="81">
        <v>8</v>
      </c>
      <c r="G36" s="105">
        <v>6.6332700000000004</v>
      </c>
      <c r="H36" s="106">
        <v>9</v>
      </c>
      <c r="I36" s="77">
        <v>10.311</v>
      </c>
      <c r="J36" s="78">
        <v>13</v>
      </c>
      <c r="K36" s="75">
        <v>10.4443</v>
      </c>
      <c r="L36" s="76">
        <v>15</v>
      </c>
      <c r="M36" s="77">
        <v>9.4999000000000002</v>
      </c>
      <c r="N36" s="78">
        <v>16</v>
      </c>
      <c r="O36" s="75">
        <v>14.961399999999999</v>
      </c>
      <c r="P36" s="76">
        <v>22</v>
      </c>
      <c r="Q36" s="80">
        <f t="shared" ref="Q36" si="6">AVERAGE(E36,G36,I36,K36,M36,O36)</f>
        <v>9.421266666666666</v>
      </c>
      <c r="R36" s="81">
        <f t="shared" ref="R36" si="7">SUM(F36,H36,J36,L36,N36,P36)</f>
        <v>83</v>
      </c>
      <c r="S36" s="17"/>
      <c r="T36" s="17"/>
      <c r="U36" s="17"/>
      <c r="V36" s="17"/>
      <c r="W36" s="19"/>
    </row>
    <row r="37" spans="1:23" ht="14.25" customHeight="1" x14ac:dyDescent="0.2">
      <c r="A37" s="207" t="s">
        <v>88</v>
      </c>
      <c r="B37" s="39">
        <v>2</v>
      </c>
      <c r="C37" s="107" t="s">
        <v>80</v>
      </c>
      <c r="D37" s="183">
        <v>474</v>
      </c>
      <c r="E37" s="82">
        <v>2.2555299999999998</v>
      </c>
      <c r="F37" s="81">
        <v>8</v>
      </c>
      <c r="G37" s="205">
        <v>9.4110200000000006</v>
      </c>
      <c r="H37" s="108">
        <v>14</v>
      </c>
      <c r="I37" s="82">
        <v>15.225099999999999</v>
      </c>
      <c r="J37" s="83">
        <v>19</v>
      </c>
      <c r="K37" s="80">
        <v>24.285599999999999</v>
      </c>
      <c r="L37" s="81">
        <v>14</v>
      </c>
      <c r="M37" s="82">
        <v>14.977600000000001</v>
      </c>
      <c r="N37" s="83">
        <v>13</v>
      </c>
      <c r="O37" s="80">
        <v>20.788699999999999</v>
      </c>
      <c r="P37" s="81">
        <v>14</v>
      </c>
      <c r="Q37" s="80">
        <f t="shared" ref="Q37:Q38" si="8">AVERAGE(E37,G37,I37,K37,M37,O37)</f>
        <v>14.490591666666665</v>
      </c>
      <c r="R37" s="81">
        <f t="shared" ref="R37:R38" si="9">SUM(F37,H37,J37,L37,N37,P37)</f>
        <v>82</v>
      </c>
      <c r="S37" s="17"/>
      <c r="T37" s="17"/>
      <c r="U37" s="17"/>
      <c r="V37" s="17"/>
      <c r="W37" s="19"/>
    </row>
    <row r="38" spans="1:23" ht="14.25" customHeight="1" x14ac:dyDescent="0.2">
      <c r="A38" s="207"/>
      <c r="B38" s="39">
        <v>3</v>
      </c>
      <c r="C38" s="107" t="s">
        <v>80</v>
      </c>
      <c r="D38" s="183">
        <v>475</v>
      </c>
      <c r="E38" s="82">
        <v>1.47776</v>
      </c>
      <c r="F38" s="81">
        <v>5</v>
      </c>
      <c r="G38" s="80">
        <v>2.9110800000000001</v>
      </c>
      <c r="H38" s="81">
        <v>11</v>
      </c>
      <c r="I38" s="82">
        <v>3.8221799999999999</v>
      </c>
      <c r="J38" s="83">
        <v>12</v>
      </c>
      <c r="K38" s="80">
        <v>5.1110600000000002</v>
      </c>
      <c r="L38" s="81">
        <v>7</v>
      </c>
      <c r="M38" s="82">
        <v>4.3999600000000001</v>
      </c>
      <c r="N38" s="83">
        <v>7</v>
      </c>
      <c r="O38" s="80">
        <v>10.399900000000001</v>
      </c>
      <c r="P38" s="81">
        <v>14</v>
      </c>
      <c r="Q38" s="80">
        <f t="shared" si="8"/>
        <v>4.6869900000000007</v>
      </c>
      <c r="R38" s="81">
        <f t="shared" si="9"/>
        <v>56</v>
      </c>
      <c r="S38" s="17"/>
      <c r="T38" s="17"/>
      <c r="U38" s="17"/>
      <c r="V38" s="17"/>
      <c r="W38" s="19"/>
    </row>
    <row r="39" spans="1:23" ht="14.25" customHeight="1" x14ac:dyDescent="0.2">
      <c r="A39" s="38"/>
      <c r="B39" s="39">
        <v>4</v>
      </c>
      <c r="C39" s="107" t="s">
        <v>80</v>
      </c>
      <c r="D39" s="183">
        <v>496</v>
      </c>
      <c r="E39" s="109">
        <v>4.2888500000000001</v>
      </c>
      <c r="F39" s="110">
        <v>10</v>
      </c>
      <c r="G39" s="111">
        <v>7.0443699999999998</v>
      </c>
      <c r="H39" s="110">
        <v>9</v>
      </c>
      <c r="I39" s="109">
        <v>10.0029</v>
      </c>
      <c r="J39" s="112">
        <v>11</v>
      </c>
      <c r="K39" s="111">
        <v>6.0636099999999997</v>
      </c>
      <c r="L39" s="110">
        <v>6</v>
      </c>
      <c r="M39" s="109">
        <v>2.6333099999999998</v>
      </c>
      <c r="N39" s="112">
        <v>5</v>
      </c>
      <c r="O39" s="111">
        <v>1.9999800000000001</v>
      </c>
      <c r="P39" s="110">
        <v>4</v>
      </c>
      <c r="Q39" s="80">
        <f t="shared" ref="Q39" si="10">AVERAGE(E39,G39,I39,K39,M39,O39)</f>
        <v>5.3388366666666665</v>
      </c>
      <c r="R39" s="81">
        <f t="shared" ref="R39" si="11">SUM(F39,H39,J39,L39,N39,P39)</f>
        <v>45</v>
      </c>
      <c r="S39" s="17"/>
      <c r="T39" s="17"/>
      <c r="U39" s="17"/>
      <c r="V39" s="17"/>
      <c r="W39" s="19"/>
    </row>
    <row r="40" spans="1:23" ht="14.25" customHeight="1" x14ac:dyDescent="0.2">
      <c r="A40" s="38"/>
      <c r="B40" s="39">
        <v>5</v>
      </c>
      <c r="C40" s="107" t="s">
        <v>80</v>
      </c>
      <c r="D40" s="183">
        <v>581</v>
      </c>
      <c r="E40" s="109">
        <v>1.35554</v>
      </c>
      <c r="F40" s="110">
        <v>4</v>
      </c>
      <c r="G40" s="111">
        <v>2.9333</v>
      </c>
      <c r="H40" s="110">
        <v>7</v>
      </c>
      <c r="I40" s="109">
        <v>6.3666</v>
      </c>
      <c r="J40" s="112">
        <v>9</v>
      </c>
      <c r="K40" s="111">
        <v>9.3776799999999998</v>
      </c>
      <c r="L40" s="110">
        <v>11</v>
      </c>
      <c r="M40" s="109">
        <v>4.7110599999999998</v>
      </c>
      <c r="N40" s="112">
        <v>10</v>
      </c>
      <c r="O40" s="111">
        <v>9.93323</v>
      </c>
      <c r="P40" s="110">
        <v>11</v>
      </c>
      <c r="Q40" s="80">
        <f t="shared" ref="Q40:Q43" si="12">AVERAGE(E40,G40,I40,K40,M40,O40)</f>
        <v>5.7795683333333336</v>
      </c>
      <c r="R40" s="81">
        <f t="shared" ref="R40:R43" si="13">SUM(F40,H40,J40,L40,N40,P40)</f>
        <v>52</v>
      </c>
      <c r="S40" s="17"/>
      <c r="T40" s="17"/>
      <c r="U40" s="17"/>
      <c r="V40" s="17"/>
      <c r="W40" s="19"/>
    </row>
    <row r="41" spans="1:23" ht="14.25" customHeight="1" x14ac:dyDescent="0.2">
      <c r="A41" s="38"/>
      <c r="B41" s="39">
        <v>6</v>
      </c>
      <c r="C41" s="107" t="s">
        <v>80</v>
      </c>
      <c r="D41" s="183">
        <v>582</v>
      </c>
      <c r="E41" s="109">
        <v>5.2888400000000004</v>
      </c>
      <c r="F41" s="110">
        <v>8</v>
      </c>
      <c r="G41" s="111">
        <v>4.7555100000000001</v>
      </c>
      <c r="H41" s="110">
        <v>13</v>
      </c>
      <c r="I41" s="109">
        <v>1.5777600000000001</v>
      </c>
      <c r="J41" s="112">
        <v>2</v>
      </c>
      <c r="K41" s="111">
        <v>2.9777499999999999</v>
      </c>
      <c r="L41" s="110">
        <v>10</v>
      </c>
      <c r="M41" s="109">
        <v>3.79996</v>
      </c>
      <c r="N41" s="112">
        <v>9</v>
      </c>
      <c r="O41" s="111">
        <v>4.1555099999999996</v>
      </c>
      <c r="P41" s="110">
        <v>15</v>
      </c>
      <c r="Q41" s="80">
        <f t="shared" si="12"/>
        <v>3.7592216666666669</v>
      </c>
      <c r="R41" s="81">
        <f t="shared" si="13"/>
        <v>57</v>
      </c>
      <c r="S41" s="17"/>
      <c r="T41" s="17"/>
      <c r="U41" s="17"/>
      <c r="V41" s="17"/>
      <c r="W41" s="19"/>
    </row>
    <row r="42" spans="1:23" ht="14.25" customHeight="1" x14ac:dyDescent="0.2">
      <c r="A42" s="38"/>
      <c r="B42" s="39">
        <v>7</v>
      </c>
      <c r="C42" s="107" t="s">
        <v>80</v>
      </c>
      <c r="D42" s="190">
        <v>583</v>
      </c>
      <c r="E42" s="111">
        <v>3.68885</v>
      </c>
      <c r="F42" s="110">
        <v>11</v>
      </c>
      <c r="G42" s="111">
        <v>3.9777399999999998</v>
      </c>
      <c r="H42" s="110">
        <v>15</v>
      </c>
      <c r="I42" s="109">
        <v>7.0221499999999999</v>
      </c>
      <c r="J42" s="112">
        <v>10</v>
      </c>
      <c r="K42" s="111">
        <v>4.4039599999999997</v>
      </c>
      <c r="L42" s="110">
        <v>10</v>
      </c>
      <c r="M42" s="109">
        <v>14.707000000000001</v>
      </c>
      <c r="N42" s="112">
        <v>7</v>
      </c>
      <c r="O42" s="111">
        <v>3.7777400000000001</v>
      </c>
      <c r="P42" s="110">
        <v>13</v>
      </c>
      <c r="Q42" s="80">
        <f t="shared" si="12"/>
        <v>6.2629066666666668</v>
      </c>
      <c r="R42" s="81">
        <f t="shared" si="13"/>
        <v>66</v>
      </c>
      <c r="S42" s="17"/>
      <c r="T42" s="17"/>
      <c r="U42" s="17"/>
      <c r="V42" s="17"/>
      <c r="W42" s="19"/>
    </row>
    <row r="43" spans="1:23" ht="14.25" customHeight="1" x14ac:dyDescent="0.2">
      <c r="A43" s="38"/>
      <c r="B43" s="39">
        <v>8</v>
      </c>
      <c r="C43" s="107" t="s">
        <v>80</v>
      </c>
      <c r="D43" s="190">
        <v>584</v>
      </c>
      <c r="E43" s="111">
        <v>4.2888500000000001</v>
      </c>
      <c r="F43" s="110">
        <v>9</v>
      </c>
      <c r="G43" s="111">
        <v>9.9776799999999994</v>
      </c>
      <c r="H43" s="110">
        <v>16</v>
      </c>
      <c r="I43" s="109">
        <v>8.3999199999999998</v>
      </c>
      <c r="J43" s="112">
        <v>10</v>
      </c>
      <c r="K43" s="111">
        <v>24.1553</v>
      </c>
      <c r="L43" s="110">
        <v>13</v>
      </c>
      <c r="M43" s="109">
        <v>8.5221400000000003</v>
      </c>
      <c r="N43" s="112">
        <v>14</v>
      </c>
      <c r="O43" s="111">
        <v>9.0776900000000005</v>
      </c>
      <c r="P43" s="110">
        <v>10</v>
      </c>
      <c r="Q43" s="80">
        <f t="shared" si="12"/>
        <v>10.736929999999999</v>
      </c>
      <c r="R43" s="81">
        <f t="shared" si="13"/>
        <v>72</v>
      </c>
      <c r="S43" s="17"/>
      <c r="T43" s="17"/>
      <c r="U43" s="17"/>
      <c r="V43" s="17"/>
      <c r="W43" s="19"/>
    </row>
    <row r="44" spans="1:23" ht="14.25" customHeight="1" x14ac:dyDescent="0.2">
      <c r="A44" s="38"/>
      <c r="B44" s="39">
        <v>9</v>
      </c>
      <c r="C44" s="114"/>
      <c r="D44" s="113"/>
      <c r="E44" s="111"/>
      <c r="F44" s="115"/>
      <c r="G44" s="111"/>
      <c r="H44" s="110"/>
      <c r="I44" s="109"/>
      <c r="J44" s="109"/>
      <c r="K44" s="111"/>
      <c r="L44" s="115"/>
      <c r="M44" s="109"/>
      <c r="N44" s="109"/>
      <c r="O44" s="111"/>
      <c r="P44" s="115"/>
      <c r="Q44" s="87"/>
      <c r="R44" s="88"/>
      <c r="S44" s="17"/>
      <c r="T44" s="17"/>
      <c r="U44" s="17"/>
      <c r="V44" s="17"/>
      <c r="W44" s="19"/>
    </row>
    <row r="45" spans="1:23" ht="14.25" customHeight="1" x14ac:dyDescent="0.2">
      <c r="A45" s="38"/>
      <c r="B45" s="195">
        <v>10</v>
      </c>
      <c r="C45" s="196"/>
      <c r="D45" s="197"/>
      <c r="E45" s="116"/>
      <c r="F45" s="117"/>
      <c r="G45" s="111"/>
      <c r="H45" s="115"/>
      <c r="I45" s="109"/>
      <c r="J45" s="109"/>
      <c r="K45" s="111"/>
      <c r="L45" s="115"/>
      <c r="M45" s="109"/>
      <c r="N45" s="109"/>
      <c r="O45" s="111"/>
      <c r="P45" s="115"/>
      <c r="Q45" s="87"/>
      <c r="R45" s="88"/>
      <c r="S45" s="17"/>
      <c r="T45" s="17"/>
      <c r="U45" s="17"/>
      <c r="V45" s="17"/>
      <c r="W45" s="19"/>
    </row>
    <row r="46" spans="1:23" ht="14.25" customHeight="1" x14ac:dyDescent="0.2">
      <c r="A46" s="118"/>
      <c r="B46" s="119"/>
      <c r="C46" s="119"/>
      <c r="D46" s="120" t="s">
        <v>47</v>
      </c>
      <c r="E46" s="95">
        <f>AVERAGE(E36:E45)</f>
        <v>3.4152437500000001</v>
      </c>
      <c r="F46" s="99">
        <f t="shared" ref="F46:Q46" si="14">AVERAGE(F36:F45)</f>
        <v>7.875</v>
      </c>
      <c r="G46" s="95">
        <f t="shared" si="14"/>
        <v>5.9554962499999995</v>
      </c>
      <c r="H46" s="96">
        <f t="shared" si="14"/>
        <v>11.75</v>
      </c>
      <c r="I46" s="99">
        <f t="shared" si="14"/>
        <v>7.8409512499999989</v>
      </c>
      <c r="J46" s="99">
        <f t="shared" si="14"/>
        <v>10.75</v>
      </c>
      <c r="K46" s="95">
        <f t="shared" si="14"/>
        <v>10.8524075</v>
      </c>
      <c r="L46" s="96">
        <f t="shared" si="14"/>
        <v>10.75</v>
      </c>
      <c r="M46" s="99">
        <f t="shared" si="14"/>
        <v>7.9063662499999996</v>
      </c>
      <c r="N46" s="99">
        <f t="shared" si="14"/>
        <v>10.125</v>
      </c>
      <c r="O46" s="95">
        <f t="shared" si="14"/>
        <v>9.3867687499999999</v>
      </c>
      <c r="P46" s="96">
        <f t="shared" si="14"/>
        <v>12.875</v>
      </c>
      <c r="Q46" s="99">
        <f t="shared" si="14"/>
        <v>7.5595389583333334</v>
      </c>
      <c r="R46" s="96">
        <f>AVERAGE(R36:R45)</f>
        <v>64.125</v>
      </c>
      <c r="S46" s="17"/>
      <c r="T46" s="17"/>
      <c r="U46" s="17"/>
      <c r="V46" s="17"/>
      <c r="W46" s="19"/>
    </row>
    <row r="47" spans="1:23" ht="14.25" customHeight="1" x14ac:dyDescent="0.2">
      <c r="A47" s="121"/>
      <c r="B47" s="122"/>
      <c r="C47" s="122"/>
      <c r="D47" s="123" t="s">
        <v>48</v>
      </c>
      <c r="E47" s="101">
        <f>STDEV(E36:E45)/SQRT(COUNT(E36:E45))</f>
        <v>0.53530080630272558</v>
      </c>
      <c r="F47" s="103">
        <f t="shared" ref="F47:R47" si="15">STDEV(F36:F45)/SQRT(COUNT(F36:F45))</f>
        <v>0.83318451052058606</v>
      </c>
      <c r="G47" s="101">
        <f t="shared" si="15"/>
        <v>0.97758135454830097</v>
      </c>
      <c r="H47" s="102">
        <f t="shared" si="15"/>
        <v>1.14564392373896</v>
      </c>
      <c r="I47" s="103">
        <f t="shared" si="15"/>
        <v>1.4870602359538552</v>
      </c>
      <c r="J47" s="103">
        <f t="shared" si="15"/>
        <v>1.6663690210411721</v>
      </c>
      <c r="K47" s="101">
        <f t="shared" si="15"/>
        <v>3.0450408777861075</v>
      </c>
      <c r="L47" s="102">
        <f t="shared" si="15"/>
        <v>1.1299494299683124</v>
      </c>
      <c r="M47" s="103">
        <f t="shared" si="15"/>
        <v>1.7234830524643754</v>
      </c>
      <c r="N47" s="103">
        <f t="shared" si="15"/>
        <v>1.3684910877104233</v>
      </c>
      <c r="O47" s="101">
        <f t="shared" si="15"/>
        <v>2.2196084515118848</v>
      </c>
      <c r="P47" s="102">
        <f t="shared" si="15"/>
        <v>1.7971952354392982</v>
      </c>
      <c r="Q47" s="103">
        <f t="shared" si="15"/>
        <v>1.2961230235822947</v>
      </c>
      <c r="R47" s="102">
        <f t="shared" si="15"/>
        <v>4.9477177278302484</v>
      </c>
      <c r="S47" s="17"/>
      <c r="T47" s="17"/>
      <c r="U47" s="17"/>
      <c r="V47" s="17"/>
      <c r="W47" s="19"/>
    </row>
    <row r="48" spans="1:23" ht="14.25" customHeight="1" x14ac:dyDescent="0.2">
      <c r="A48" s="51" t="s">
        <v>58</v>
      </c>
      <c r="B48" s="40">
        <v>1</v>
      </c>
      <c r="C48" s="124"/>
      <c r="D48" s="184"/>
      <c r="E48" s="125"/>
      <c r="F48" s="126"/>
      <c r="G48" s="125"/>
      <c r="H48" s="127"/>
      <c r="I48" s="128"/>
      <c r="J48" s="126"/>
      <c r="K48" s="125"/>
      <c r="L48" s="127"/>
      <c r="M48" s="128"/>
      <c r="N48" s="126"/>
      <c r="O48" s="125"/>
      <c r="P48" s="127"/>
      <c r="Q48" s="80"/>
      <c r="R48" s="81"/>
      <c r="S48" s="17"/>
      <c r="T48" s="17"/>
      <c r="U48" s="17"/>
      <c r="V48" s="17"/>
      <c r="W48" s="19"/>
    </row>
    <row r="49" spans="1:23" ht="14.25" customHeight="1" x14ac:dyDescent="0.2">
      <c r="A49" s="208"/>
      <c r="B49" s="41">
        <v>2</v>
      </c>
      <c r="C49" s="124"/>
      <c r="D49" s="185"/>
      <c r="E49" s="129"/>
      <c r="F49" s="126"/>
      <c r="G49" s="129"/>
      <c r="H49" s="130"/>
      <c r="I49" s="128"/>
      <c r="J49" s="126"/>
      <c r="K49" s="129"/>
      <c r="L49" s="130"/>
      <c r="M49" s="128"/>
      <c r="N49" s="126"/>
      <c r="O49" s="129"/>
      <c r="P49" s="130"/>
      <c r="Q49" s="80"/>
      <c r="R49" s="81"/>
      <c r="S49" s="17"/>
      <c r="T49" s="17"/>
      <c r="U49" s="17"/>
      <c r="V49" s="17"/>
      <c r="W49" s="19"/>
    </row>
    <row r="50" spans="1:23" ht="14.25" customHeight="1" x14ac:dyDescent="0.2">
      <c r="A50" s="208"/>
      <c r="B50" s="43">
        <v>3</v>
      </c>
      <c r="C50" s="124"/>
      <c r="D50" s="185"/>
      <c r="E50" s="128"/>
      <c r="F50" s="126"/>
      <c r="G50" s="129"/>
      <c r="H50" s="130"/>
      <c r="I50" s="128"/>
      <c r="J50" s="126"/>
      <c r="K50" s="129"/>
      <c r="L50" s="130"/>
      <c r="M50" s="128"/>
      <c r="N50" s="126"/>
      <c r="O50" s="129"/>
      <c r="P50" s="130"/>
      <c r="Q50" s="80"/>
      <c r="R50" s="81"/>
      <c r="S50" s="17"/>
      <c r="T50" s="17"/>
      <c r="U50" s="17"/>
      <c r="V50" s="17"/>
      <c r="W50" s="19"/>
    </row>
    <row r="51" spans="1:23" ht="14.25" customHeight="1" x14ac:dyDescent="0.2">
      <c r="A51" s="42"/>
      <c r="B51" s="43">
        <v>4</v>
      </c>
      <c r="C51" s="124"/>
      <c r="D51" s="185"/>
      <c r="E51" s="128"/>
      <c r="F51" s="126"/>
      <c r="G51" s="129"/>
      <c r="H51" s="130"/>
      <c r="I51" s="128"/>
      <c r="J51" s="126"/>
      <c r="K51" s="129"/>
      <c r="L51" s="130"/>
      <c r="M51" s="128"/>
      <c r="N51" s="126"/>
      <c r="O51" s="129"/>
      <c r="P51" s="130"/>
      <c r="Q51" s="80"/>
      <c r="R51" s="81"/>
      <c r="S51" s="17"/>
      <c r="T51" s="17"/>
      <c r="U51" s="17"/>
      <c r="V51" s="17"/>
      <c r="W51" s="19"/>
    </row>
    <row r="52" spans="1:23" ht="14.25" customHeight="1" x14ac:dyDescent="0.2">
      <c r="A52" s="42"/>
      <c r="B52" s="43">
        <v>5</v>
      </c>
      <c r="C52" s="124"/>
      <c r="D52" s="185"/>
      <c r="E52" s="128"/>
      <c r="F52" s="126"/>
      <c r="G52" s="129"/>
      <c r="H52" s="130"/>
      <c r="I52" s="128"/>
      <c r="J52" s="126"/>
      <c r="K52" s="129"/>
      <c r="L52" s="130"/>
      <c r="M52" s="128"/>
      <c r="N52" s="126"/>
      <c r="O52" s="129"/>
      <c r="P52" s="130"/>
      <c r="Q52" s="80"/>
      <c r="R52" s="81"/>
      <c r="S52" s="17"/>
      <c r="T52" s="17"/>
      <c r="U52" s="17"/>
      <c r="V52" s="17"/>
      <c r="W52" s="19"/>
    </row>
    <row r="53" spans="1:23" ht="14.25" customHeight="1" x14ac:dyDescent="0.2">
      <c r="A53" s="42"/>
      <c r="B53" s="43">
        <v>6</v>
      </c>
      <c r="C53" s="124"/>
      <c r="D53" s="185"/>
      <c r="E53" s="128"/>
      <c r="F53" s="126"/>
      <c r="G53" s="129"/>
      <c r="H53" s="130"/>
      <c r="I53" s="128"/>
      <c r="J53" s="126"/>
      <c r="K53" s="129"/>
      <c r="L53" s="130"/>
      <c r="M53" s="128"/>
      <c r="N53" s="126"/>
      <c r="O53" s="129"/>
      <c r="P53" s="130"/>
      <c r="Q53" s="80"/>
      <c r="R53" s="81"/>
      <c r="S53" s="17"/>
      <c r="T53" s="17"/>
      <c r="U53" s="17"/>
      <c r="V53" s="17"/>
      <c r="W53" s="19"/>
    </row>
    <row r="54" spans="1:23" ht="14.25" customHeight="1" x14ac:dyDescent="0.2">
      <c r="A54" s="42"/>
      <c r="B54" s="43">
        <v>7</v>
      </c>
      <c r="C54" s="124"/>
      <c r="D54" s="186"/>
      <c r="E54" s="128"/>
      <c r="F54" s="126"/>
      <c r="G54" s="129"/>
      <c r="H54" s="130"/>
      <c r="I54" s="128"/>
      <c r="J54" s="126"/>
      <c r="K54" s="129"/>
      <c r="L54" s="130"/>
      <c r="M54" s="128"/>
      <c r="N54" s="126"/>
      <c r="O54" s="129"/>
      <c r="P54" s="130"/>
      <c r="Q54" s="80"/>
      <c r="R54" s="81"/>
      <c r="S54" s="17"/>
      <c r="T54" s="17"/>
      <c r="U54" s="17"/>
      <c r="V54" s="17"/>
      <c r="W54" s="19"/>
    </row>
    <row r="55" spans="1:23" ht="14.25" customHeight="1" x14ac:dyDescent="0.2">
      <c r="A55" s="42"/>
      <c r="B55" s="43">
        <v>8</v>
      </c>
      <c r="C55" s="124"/>
      <c r="D55" s="186"/>
      <c r="E55" s="128"/>
      <c r="F55" s="126"/>
      <c r="G55" s="129"/>
      <c r="H55" s="130"/>
      <c r="I55" s="128"/>
      <c r="J55" s="126"/>
      <c r="K55" s="129"/>
      <c r="L55" s="130"/>
      <c r="M55" s="128"/>
      <c r="N55" s="126"/>
      <c r="O55" s="129"/>
      <c r="P55" s="130"/>
      <c r="Q55" s="80"/>
      <c r="R55" s="81"/>
      <c r="S55" s="17"/>
      <c r="T55" s="17"/>
      <c r="U55" s="17"/>
      <c r="V55" s="17"/>
      <c r="W55" s="19"/>
    </row>
    <row r="56" spans="1:23" ht="14.25" customHeight="1" x14ac:dyDescent="0.2">
      <c r="A56" s="42"/>
      <c r="B56" s="43">
        <v>9</v>
      </c>
      <c r="C56" s="132"/>
      <c r="D56" s="131"/>
      <c r="E56" s="128"/>
      <c r="F56" s="126"/>
      <c r="G56" s="129"/>
      <c r="H56" s="130"/>
      <c r="I56" s="128"/>
      <c r="J56" s="126"/>
      <c r="K56" s="129"/>
      <c r="L56" s="130"/>
      <c r="M56" s="128"/>
      <c r="N56" s="126"/>
      <c r="O56" s="129"/>
      <c r="P56" s="130"/>
      <c r="Q56" s="129"/>
      <c r="R56" s="133"/>
      <c r="S56" s="17"/>
      <c r="T56" s="17"/>
      <c r="U56" s="17"/>
      <c r="V56" s="17"/>
      <c r="W56" s="19"/>
    </row>
    <row r="57" spans="1:23" ht="14.25" customHeight="1" x14ac:dyDescent="0.2">
      <c r="A57" s="42"/>
      <c r="B57" s="198">
        <v>10</v>
      </c>
      <c r="C57" s="199"/>
      <c r="D57" s="200"/>
      <c r="E57" s="128"/>
      <c r="F57" s="126"/>
      <c r="G57" s="134"/>
      <c r="H57" s="135"/>
      <c r="I57" s="128"/>
      <c r="J57" s="126"/>
      <c r="K57" s="134"/>
      <c r="L57" s="135"/>
      <c r="M57" s="128"/>
      <c r="N57" s="126"/>
      <c r="O57" s="134"/>
      <c r="P57" s="135"/>
      <c r="Q57" s="134"/>
      <c r="R57" s="136"/>
      <c r="S57" s="17"/>
      <c r="T57" s="17"/>
      <c r="U57" s="17"/>
      <c r="V57" s="17"/>
      <c r="W57" s="19"/>
    </row>
    <row r="58" spans="1:23" ht="14.25" customHeight="1" x14ac:dyDescent="0.2">
      <c r="A58" s="137"/>
      <c r="B58" s="138"/>
      <c r="C58" s="138"/>
      <c r="D58" s="139" t="s">
        <v>47</v>
      </c>
      <c r="E58" s="95" t="e">
        <f>AVERAGE(E48:E57)</f>
        <v>#DIV/0!</v>
      </c>
      <c r="F58" s="99" t="e">
        <f t="shared" ref="F58:R58" si="16">AVERAGE(F48:F57)</f>
        <v>#DIV/0!</v>
      </c>
      <c r="G58" s="95" t="e">
        <f t="shared" si="16"/>
        <v>#DIV/0!</v>
      </c>
      <c r="H58" s="96" t="e">
        <f t="shared" si="16"/>
        <v>#DIV/0!</v>
      </c>
      <c r="I58" s="99" t="e">
        <f t="shared" si="16"/>
        <v>#DIV/0!</v>
      </c>
      <c r="J58" s="99" t="e">
        <f t="shared" si="16"/>
        <v>#DIV/0!</v>
      </c>
      <c r="K58" s="95" t="e">
        <f t="shared" si="16"/>
        <v>#DIV/0!</v>
      </c>
      <c r="L58" s="96" t="e">
        <f t="shared" si="16"/>
        <v>#DIV/0!</v>
      </c>
      <c r="M58" s="99" t="e">
        <f>AVERAGE(M48:M57)</f>
        <v>#DIV/0!</v>
      </c>
      <c r="N58" s="99" t="e">
        <f>AVERAGE(N48:N57)</f>
        <v>#DIV/0!</v>
      </c>
      <c r="O58" s="95" t="e">
        <f t="shared" si="16"/>
        <v>#DIV/0!</v>
      </c>
      <c r="P58" s="96" t="e">
        <f t="shared" si="16"/>
        <v>#DIV/0!</v>
      </c>
      <c r="Q58" s="99" t="e">
        <f t="shared" si="16"/>
        <v>#DIV/0!</v>
      </c>
      <c r="R58" s="96" t="e">
        <f t="shared" si="16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40"/>
      <c r="B59" s="141"/>
      <c r="C59" s="141"/>
      <c r="D59" s="142" t="s">
        <v>48</v>
      </c>
      <c r="E59" s="101" t="e">
        <f>STDEV(E48:E57)/SQRT(COUNT(E48:E57))</f>
        <v>#DIV/0!</v>
      </c>
      <c r="F59" s="103" t="e">
        <f t="shared" ref="F59:R59" si="17">STDEV(F48:F57)/SQRT(COUNT(F48:F57))</f>
        <v>#DIV/0!</v>
      </c>
      <c r="G59" s="101" t="e">
        <f t="shared" si="17"/>
        <v>#DIV/0!</v>
      </c>
      <c r="H59" s="102" t="e">
        <f t="shared" si="17"/>
        <v>#DIV/0!</v>
      </c>
      <c r="I59" s="103" t="e">
        <f t="shared" si="17"/>
        <v>#DIV/0!</v>
      </c>
      <c r="J59" s="103" t="e">
        <f t="shared" si="17"/>
        <v>#DIV/0!</v>
      </c>
      <c r="K59" s="101" t="e">
        <f t="shared" si="17"/>
        <v>#DIV/0!</v>
      </c>
      <c r="L59" s="102" t="e">
        <f t="shared" si="17"/>
        <v>#DIV/0!</v>
      </c>
      <c r="M59" s="103" t="e">
        <f>STDEV(M48:M57)/SQRT(COUNT(M48:M57))</f>
        <v>#DIV/0!</v>
      </c>
      <c r="N59" s="103" t="e">
        <f>STDEV(N48:N57)/SQRT(COUNT(N48:N57))</f>
        <v>#DIV/0!</v>
      </c>
      <c r="O59" s="101" t="e">
        <f t="shared" si="17"/>
        <v>#DIV/0!</v>
      </c>
      <c r="P59" s="102" t="e">
        <f t="shared" si="17"/>
        <v>#DIV/0!</v>
      </c>
      <c r="Q59" s="103" t="e">
        <f t="shared" si="17"/>
        <v>#DIV/0!</v>
      </c>
      <c r="R59" s="102" t="e">
        <f t="shared" si="17"/>
        <v>#DIV/0!</v>
      </c>
      <c r="S59" s="17"/>
      <c r="T59" s="17"/>
      <c r="U59" s="17"/>
      <c r="V59" s="17"/>
      <c r="W59" s="19"/>
    </row>
    <row r="60" spans="1:23" ht="14.25" customHeight="1" x14ac:dyDescent="0.2">
      <c r="A60" s="52" t="s">
        <v>64</v>
      </c>
      <c r="B60" s="53">
        <v>1</v>
      </c>
      <c r="C60" s="143"/>
      <c r="D60" s="187"/>
      <c r="E60" s="125"/>
      <c r="F60" s="126"/>
      <c r="G60" s="125"/>
      <c r="H60" s="127"/>
      <c r="I60" s="128"/>
      <c r="J60" s="126"/>
      <c r="K60" s="125"/>
      <c r="L60" s="127"/>
      <c r="M60" s="128"/>
      <c r="N60" s="126"/>
      <c r="O60" s="125"/>
      <c r="P60" s="127"/>
      <c r="Q60" s="80"/>
      <c r="R60" s="81"/>
      <c r="S60" s="17"/>
      <c r="T60" s="17"/>
      <c r="U60" s="17"/>
      <c r="V60" s="17"/>
      <c r="W60" s="19"/>
    </row>
    <row r="61" spans="1:23" ht="14.25" customHeight="1" x14ac:dyDescent="0.2">
      <c r="A61" s="209"/>
      <c r="B61" s="54">
        <v>2</v>
      </c>
      <c r="C61" s="143"/>
      <c r="D61" s="187"/>
      <c r="E61" s="129"/>
      <c r="F61" s="126"/>
      <c r="G61" s="129"/>
      <c r="H61" s="130"/>
      <c r="I61" s="128"/>
      <c r="J61" s="126"/>
      <c r="K61" s="129"/>
      <c r="L61" s="130"/>
      <c r="M61" s="128"/>
      <c r="N61" s="126"/>
      <c r="O61" s="129"/>
      <c r="P61" s="130"/>
      <c r="Q61" s="80"/>
      <c r="R61" s="81"/>
      <c r="S61" s="17"/>
      <c r="T61" s="17"/>
      <c r="U61" s="17"/>
      <c r="V61" s="17"/>
      <c r="W61" s="19"/>
    </row>
    <row r="62" spans="1:23" ht="14.25" customHeight="1" x14ac:dyDescent="0.2">
      <c r="A62" s="209"/>
      <c r="B62" s="56">
        <v>3</v>
      </c>
      <c r="C62" s="143"/>
      <c r="D62" s="188"/>
      <c r="E62" s="128"/>
      <c r="F62" s="126"/>
      <c r="G62" s="129"/>
      <c r="H62" s="130"/>
      <c r="I62" s="128"/>
      <c r="J62" s="126"/>
      <c r="K62" s="129"/>
      <c r="L62" s="130"/>
      <c r="M62" s="128"/>
      <c r="N62" s="126"/>
      <c r="O62" s="129"/>
      <c r="P62" s="130"/>
      <c r="Q62" s="80"/>
      <c r="R62" s="81"/>
      <c r="S62" s="17"/>
      <c r="T62" s="17"/>
      <c r="U62" s="17"/>
      <c r="V62" s="17"/>
      <c r="W62" s="19"/>
    </row>
    <row r="63" spans="1:23" ht="14.25" customHeight="1" x14ac:dyDescent="0.2">
      <c r="A63" s="55"/>
      <c r="B63" s="56">
        <v>4</v>
      </c>
      <c r="C63" s="143"/>
      <c r="D63" s="188"/>
      <c r="E63" s="128"/>
      <c r="F63" s="126"/>
      <c r="G63" s="129"/>
      <c r="H63" s="130"/>
      <c r="I63" s="128"/>
      <c r="J63" s="126"/>
      <c r="K63" s="129"/>
      <c r="L63" s="130"/>
      <c r="M63" s="128"/>
      <c r="N63" s="126"/>
      <c r="O63" s="129"/>
      <c r="P63" s="130"/>
      <c r="Q63" s="80"/>
      <c r="R63" s="81"/>
      <c r="S63" s="17"/>
      <c r="T63" s="17"/>
      <c r="U63" s="17"/>
      <c r="V63" s="17"/>
      <c r="W63" s="19"/>
    </row>
    <row r="64" spans="1:23" ht="14.25" customHeight="1" x14ac:dyDescent="0.2">
      <c r="A64" s="55"/>
      <c r="B64" s="56">
        <v>5</v>
      </c>
      <c r="C64" s="143"/>
      <c r="D64" s="188"/>
      <c r="E64" s="128"/>
      <c r="F64" s="126"/>
      <c r="G64" s="129"/>
      <c r="H64" s="130"/>
      <c r="I64" s="128"/>
      <c r="J64" s="126"/>
      <c r="K64" s="129"/>
      <c r="L64" s="130"/>
      <c r="M64" s="128"/>
      <c r="N64" s="126"/>
      <c r="O64" s="129"/>
      <c r="P64" s="130"/>
      <c r="Q64" s="80"/>
      <c r="R64" s="81"/>
      <c r="S64" s="17"/>
      <c r="T64" s="17"/>
      <c r="U64" s="17"/>
      <c r="V64" s="17"/>
      <c r="W64" s="19"/>
    </row>
    <row r="65" spans="1:23" ht="14.25" customHeight="1" x14ac:dyDescent="0.2">
      <c r="A65" s="55"/>
      <c r="B65" s="56">
        <v>6</v>
      </c>
      <c r="C65" s="143"/>
      <c r="D65" s="188"/>
      <c r="E65" s="128"/>
      <c r="F65" s="126"/>
      <c r="G65" s="129"/>
      <c r="H65" s="130"/>
      <c r="I65" s="128"/>
      <c r="J65" s="126"/>
      <c r="K65" s="129"/>
      <c r="L65" s="130"/>
      <c r="M65" s="128"/>
      <c r="N65" s="126"/>
      <c r="O65" s="129"/>
      <c r="P65" s="130"/>
      <c r="Q65" s="80"/>
      <c r="R65" s="81"/>
      <c r="S65" s="17"/>
      <c r="T65" s="17"/>
      <c r="U65" s="17"/>
      <c r="V65" s="17"/>
      <c r="W65" s="19"/>
    </row>
    <row r="66" spans="1:23" ht="14.25" customHeight="1" x14ac:dyDescent="0.2">
      <c r="A66" s="55"/>
      <c r="B66" s="56">
        <v>7</v>
      </c>
      <c r="C66" s="143"/>
      <c r="D66" s="189"/>
      <c r="E66" s="128"/>
      <c r="F66" s="126"/>
      <c r="G66" s="129"/>
      <c r="H66" s="130"/>
      <c r="I66" s="128"/>
      <c r="J66" s="126"/>
      <c r="K66" s="129"/>
      <c r="L66" s="130"/>
      <c r="M66" s="128"/>
      <c r="N66" s="126"/>
      <c r="O66" s="129"/>
      <c r="P66" s="130"/>
      <c r="Q66" s="80"/>
      <c r="R66" s="81"/>
      <c r="S66" s="17"/>
      <c r="T66" s="17"/>
      <c r="U66" s="17"/>
      <c r="V66" s="17"/>
      <c r="W66" s="19"/>
    </row>
    <row r="67" spans="1:23" ht="14.25" customHeight="1" x14ac:dyDescent="0.2">
      <c r="A67" s="55"/>
      <c r="B67" s="56">
        <v>8</v>
      </c>
      <c r="C67" s="143"/>
      <c r="D67" s="189"/>
      <c r="E67" s="128"/>
      <c r="F67" s="126"/>
      <c r="G67" s="129"/>
      <c r="H67" s="130"/>
      <c r="I67" s="128"/>
      <c r="J67" s="126"/>
      <c r="K67" s="129"/>
      <c r="L67" s="130"/>
      <c r="M67" s="128"/>
      <c r="N67" s="126"/>
      <c r="O67" s="129"/>
      <c r="P67" s="130"/>
      <c r="Q67" s="129"/>
      <c r="R67" s="130"/>
      <c r="S67" s="17"/>
      <c r="T67" s="17"/>
      <c r="U67" s="17"/>
      <c r="V67" s="17"/>
      <c r="W67" s="19"/>
    </row>
    <row r="68" spans="1:23" ht="14.25" customHeight="1" x14ac:dyDescent="0.2">
      <c r="A68" s="55"/>
      <c r="B68" s="56">
        <v>9</v>
      </c>
      <c r="C68" s="145"/>
      <c r="D68" s="144"/>
      <c r="E68" s="128"/>
      <c r="F68" s="126"/>
      <c r="G68" s="129"/>
      <c r="H68" s="130"/>
      <c r="I68" s="128"/>
      <c r="J68" s="126"/>
      <c r="K68" s="129"/>
      <c r="L68" s="130"/>
      <c r="M68" s="128"/>
      <c r="N68" s="126"/>
      <c r="O68" s="129"/>
      <c r="P68" s="130"/>
      <c r="Q68" s="129"/>
      <c r="R68" s="130"/>
      <c r="S68" s="17"/>
      <c r="T68" s="17"/>
      <c r="U68" s="17"/>
      <c r="V68" s="17"/>
      <c r="W68" s="19"/>
    </row>
    <row r="69" spans="1:23" ht="14.25" customHeight="1" x14ac:dyDescent="0.2">
      <c r="A69" s="55"/>
      <c r="B69" s="201">
        <v>10</v>
      </c>
      <c r="C69" s="202"/>
      <c r="D69" s="203"/>
      <c r="E69" s="128"/>
      <c r="F69" s="126"/>
      <c r="G69" s="134"/>
      <c r="H69" s="135"/>
      <c r="I69" s="128"/>
      <c r="J69" s="126"/>
      <c r="K69" s="134"/>
      <c r="L69" s="135"/>
      <c r="M69" s="128"/>
      <c r="N69" s="126"/>
      <c r="O69" s="134"/>
      <c r="P69" s="135"/>
      <c r="Q69" s="134"/>
      <c r="R69" s="135"/>
      <c r="S69" s="17"/>
      <c r="T69" s="17"/>
      <c r="U69" s="17"/>
      <c r="V69" s="17"/>
      <c r="W69" s="19"/>
    </row>
    <row r="70" spans="1:23" ht="14.25" customHeight="1" x14ac:dyDescent="0.2">
      <c r="A70" s="146"/>
      <c r="B70" s="147"/>
      <c r="C70" s="147"/>
      <c r="D70" s="148" t="s">
        <v>47</v>
      </c>
      <c r="E70" s="95" t="e">
        <f>AVERAGE(E60:E69)</f>
        <v>#DIV/0!</v>
      </c>
      <c r="F70" s="99" t="e">
        <f t="shared" ref="F70:R70" si="18">AVERAGE(F60:F69)</f>
        <v>#DIV/0!</v>
      </c>
      <c r="G70" s="95" t="e">
        <f t="shared" si="18"/>
        <v>#DIV/0!</v>
      </c>
      <c r="H70" s="96" t="e">
        <f t="shared" si="18"/>
        <v>#DIV/0!</v>
      </c>
      <c r="I70" s="99" t="e">
        <f t="shared" si="18"/>
        <v>#DIV/0!</v>
      </c>
      <c r="J70" s="99" t="e">
        <f t="shared" si="18"/>
        <v>#DIV/0!</v>
      </c>
      <c r="K70" s="95" t="e">
        <f t="shared" si="18"/>
        <v>#DIV/0!</v>
      </c>
      <c r="L70" s="96" t="e">
        <f t="shared" si="18"/>
        <v>#DIV/0!</v>
      </c>
      <c r="M70" s="99" t="e">
        <f>AVERAGE(M60:M69)</f>
        <v>#DIV/0!</v>
      </c>
      <c r="N70" s="99" t="e">
        <f t="shared" si="18"/>
        <v>#DIV/0!</v>
      </c>
      <c r="O70" s="95" t="e">
        <f t="shared" si="18"/>
        <v>#DIV/0!</v>
      </c>
      <c r="P70" s="96" t="e">
        <f t="shared" si="18"/>
        <v>#DIV/0!</v>
      </c>
      <c r="Q70" s="99" t="e">
        <f t="shared" si="18"/>
        <v>#DIV/0!</v>
      </c>
      <c r="R70" s="96" t="e">
        <f t="shared" si="18"/>
        <v>#DIV/0!</v>
      </c>
      <c r="S70" s="17"/>
      <c r="T70" s="17"/>
      <c r="U70" s="17"/>
      <c r="V70" s="17"/>
      <c r="W70" s="19"/>
    </row>
    <row r="71" spans="1:23" ht="14.25" customHeight="1" x14ac:dyDescent="0.2">
      <c r="A71" s="149"/>
      <c r="B71" s="150"/>
      <c r="C71" s="150"/>
      <c r="D71" s="151" t="s">
        <v>48</v>
      </c>
      <c r="E71" s="101" t="e">
        <f>STDEV(E60:E69)/SQRT(COUNT(E60:E69))</f>
        <v>#DIV/0!</v>
      </c>
      <c r="F71" s="103" t="e">
        <f t="shared" ref="F71:Q71" si="19">STDEV(F60:F69)/SQRT(COUNT(F60:F69))</f>
        <v>#DIV/0!</v>
      </c>
      <c r="G71" s="101" t="e">
        <f t="shared" si="19"/>
        <v>#DIV/0!</v>
      </c>
      <c r="H71" s="102" t="e">
        <f t="shared" si="19"/>
        <v>#DIV/0!</v>
      </c>
      <c r="I71" s="103" t="e">
        <f t="shared" si="19"/>
        <v>#DIV/0!</v>
      </c>
      <c r="J71" s="103" t="e">
        <f t="shared" si="19"/>
        <v>#DIV/0!</v>
      </c>
      <c r="K71" s="101" t="e">
        <f t="shared" si="19"/>
        <v>#DIV/0!</v>
      </c>
      <c r="L71" s="102" t="e">
        <f t="shared" si="19"/>
        <v>#DIV/0!</v>
      </c>
      <c r="M71" s="103" t="e">
        <f t="shared" si="19"/>
        <v>#DIV/0!</v>
      </c>
      <c r="N71" s="103" t="e">
        <f t="shared" si="19"/>
        <v>#DIV/0!</v>
      </c>
      <c r="O71" s="101" t="e">
        <f t="shared" si="19"/>
        <v>#DIV/0!</v>
      </c>
      <c r="P71" s="102" t="e">
        <f t="shared" si="19"/>
        <v>#DIV/0!</v>
      </c>
      <c r="Q71" s="103" t="e">
        <f t="shared" si="19"/>
        <v>#DIV/0!</v>
      </c>
      <c r="R71" s="102" t="e">
        <f>STDEV(R60:R69)/SQRT(COUNT(R60:R69))</f>
        <v>#DIV/0!</v>
      </c>
      <c r="S71" s="17"/>
      <c r="T71" s="17"/>
      <c r="U71" s="17"/>
      <c r="V71" s="17"/>
      <c r="W71" s="19"/>
    </row>
    <row r="72" spans="1:23" ht="14.25" customHeight="1" x14ac:dyDescent="0.2">
      <c r="A72" s="152"/>
      <c r="B72" s="152"/>
      <c r="C72" s="152" t="s">
        <v>50</v>
      </c>
      <c r="D72" s="152" t="s">
        <v>51</v>
      </c>
      <c r="E72" s="153">
        <f>TTEST(E24:E33,E36:E45,2,2)</f>
        <v>5.6717300869010105E-3</v>
      </c>
      <c r="F72" s="153">
        <f t="shared" ref="F72:R72" si="20">TTEST(F24:F33,F36:F45,2,2)</f>
        <v>1.2797194408832598E-2</v>
      </c>
      <c r="G72" s="153">
        <f t="shared" si="20"/>
        <v>0.16033015985589485</v>
      </c>
      <c r="H72" s="153">
        <f t="shared" si="20"/>
        <v>0.79954381516654671</v>
      </c>
      <c r="I72" s="153">
        <f t="shared" si="20"/>
        <v>9.6759648427913944E-2</v>
      </c>
      <c r="J72" s="153">
        <f t="shared" si="20"/>
        <v>0.45095540141171553</v>
      </c>
      <c r="K72" s="153">
        <f t="shared" si="20"/>
        <v>0.69447612759695465</v>
      </c>
      <c r="L72" s="153">
        <f t="shared" si="20"/>
        <v>0.45230482665587957</v>
      </c>
      <c r="M72" s="153">
        <f t="shared" si="20"/>
        <v>0.24627193945231718</v>
      </c>
      <c r="N72" s="153">
        <f t="shared" si="20"/>
        <v>0.3037797820113482</v>
      </c>
      <c r="O72" s="153">
        <f t="shared" si="20"/>
        <v>0.16176191974915224</v>
      </c>
      <c r="P72" s="153">
        <f t="shared" si="20"/>
        <v>0.84315029158969967</v>
      </c>
      <c r="Q72" s="153">
        <f t="shared" si="20"/>
        <v>9.5264330199493361E-2</v>
      </c>
      <c r="R72" s="153">
        <f t="shared" si="20"/>
        <v>0.27415833653045052</v>
      </c>
      <c r="S72" s="17"/>
      <c r="T72" s="17"/>
      <c r="U72" s="17"/>
      <c r="V72" s="17"/>
      <c r="W72" s="19"/>
    </row>
    <row r="73" spans="1:23" ht="14.25" customHeight="1" x14ac:dyDescent="0.2">
      <c r="A73" s="152"/>
      <c r="B73" s="152"/>
      <c r="C73" s="152"/>
      <c r="D73" s="152" t="s">
        <v>59</v>
      </c>
      <c r="E73" s="153" t="e">
        <f>TTEST(E24:E33,E48:E57,2,2)</f>
        <v>#DIV/0!</v>
      </c>
      <c r="F73" s="153" t="e">
        <f t="shared" ref="F73:R73" si="21">TTEST(F24:F33,F48:F57,2,2)</f>
        <v>#DIV/0!</v>
      </c>
      <c r="G73" s="153" t="e">
        <f t="shared" si="21"/>
        <v>#DIV/0!</v>
      </c>
      <c r="H73" s="153" t="e">
        <f t="shared" si="21"/>
        <v>#DIV/0!</v>
      </c>
      <c r="I73" s="153" t="e">
        <f t="shared" si="21"/>
        <v>#DIV/0!</v>
      </c>
      <c r="J73" s="153" t="e">
        <f t="shared" si="21"/>
        <v>#DIV/0!</v>
      </c>
      <c r="K73" s="153" t="e">
        <f t="shared" si="21"/>
        <v>#DIV/0!</v>
      </c>
      <c r="L73" s="153" t="e">
        <f t="shared" si="21"/>
        <v>#DIV/0!</v>
      </c>
      <c r="M73" s="153" t="e">
        <f t="shared" si="21"/>
        <v>#DIV/0!</v>
      </c>
      <c r="N73" s="153" t="e">
        <f t="shared" si="21"/>
        <v>#DIV/0!</v>
      </c>
      <c r="O73" s="153" t="e">
        <f t="shared" si="21"/>
        <v>#DIV/0!</v>
      </c>
      <c r="P73" s="153" t="e">
        <f t="shared" si="21"/>
        <v>#DIV/0!</v>
      </c>
      <c r="Q73" s="153" t="e">
        <f t="shared" si="21"/>
        <v>#DIV/0!</v>
      </c>
      <c r="R73" s="153" t="e">
        <f t="shared" si="21"/>
        <v>#DIV/0!</v>
      </c>
      <c r="S73" s="17"/>
      <c r="T73" s="17"/>
      <c r="U73" s="17"/>
      <c r="V73" s="17"/>
      <c r="W73" s="19"/>
    </row>
    <row r="74" spans="1:23" ht="14.25" customHeight="1" x14ac:dyDescent="0.2">
      <c r="A74" s="152"/>
      <c r="B74" s="152"/>
      <c r="C74" s="152"/>
      <c r="D74" s="152" t="s">
        <v>65</v>
      </c>
      <c r="E74" s="153" t="e">
        <f>TTEST(E24:E33,E60:E69,2,2)</f>
        <v>#DIV/0!</v>
      </c>
      <c r="F74" s="153" t="e">
        <f t="shared" ref="F74:R74" si="22">TTEST(F24:F33,F60:F69,2,2)</f>
        <v>#DIV/0!</v>
      </c>
      <c r="G74" s="153" t="e">
        <f t="shared" si="22"/>
        <v>#DIV/0!</v>
      </c>
      <c r="H74" s="153" t="e">
        <f t="shared" si="22"/>
        <v>#DIV/0!</v>
      </c>
      <c r="I74" s="153" t="e">
        <f t="shared" si="22"/>
        <v>#DIV/0!</v>
      </c>
      <c r="J74" s="153" t="e">
        <f t="shared" si="22"/>
        <v>#DIV/0!</v>
      </c>
      <c r="K74" s="153" t="e">
        <f t="shared" si="22"/>
        <v>#DIV/0!</v>
      </c>
      <c r="L74" s="153" t="e">
        <f t="shared" si="22"/>
        <v>#DIV/0!</v>
      </c>
      <c r="M74" s="153" t="e">
        <f t="shared" si="22"/>
        <v>#DIV/0!</v>
      </c>
      <c r="N74" s="153" t="e">
        <f t="shared" si="22"/>
        <v>#DIV/0!</v>
      </c>
      <c r="O74" s="153" t="e">
        <f t="shared" si="22"/>
        <v>#DIV/0!</v>
      </c>
      <c r="P74" s="153" t="e">
        <f t="shared" si="22"/>
        <v>#DIV/0!</v>
      </c>
      <c r="Q74" s="153" t="e">
        <f t="shared" si="22"/>
        <v>#DIV/0!</v>
      </c>
      <c r="R74" s="153" t="e">
        <f t="shared" si="22"/>
        <v>#DIV/0!</v>
      </c>
      <c r="S74" s="17"/>
      <c r="T74" s="17"/>
      <c r="U74" s="17"/>
      <c r="V74" s="17"/>
      <c r="W74" s="19"/>
    </row>
    <row r="75" spans="1:23" ht="14.25" customHeight="1" x14ac:dyDescent="0.2">
      <c r="A75" s="152"/>
      <c r="B75" s="152"/>
      <c r="C75" s="152"/>
      <c r="D75" s="152" t="s">
        <v>60</v>
      </c>
      <c r="E75" s="153" t="e">
        <f>TTEST(E36:E45,E48:E57,2,2)</f>
        <v>#DIV/0!</v>
      </c>
      <c r="F75" s="153" t="e">
        <f t="shared" ref="F75:R75" si="23">TTEST(F36:F45,F48:F57,2,2)</f>
        <v>#DIV/0!</v>
      </c>
      <c r="G75" s="153" t="e">
        <f t="shared" si="23"/>
        <v>#DIV/0!</v>
      </c>
      <c r="H75" s="153" t="e">
        <f t="shared" si="23"/>
        <v>#DIV/0!</v>
      </c>
      <c r="I75" s="153" t="e">
        <f t="shared" si="23"/>
        <v>#DIV/0!</v>
      </c>
      <c r="J75" s="153" t="e">
        <f t="shared" si="23"/>
        <v>#DIV/0!</v>
      </c>
      <c r="K75" s="153" t="e">
        <f t="shared" si="23"/>
        <v>#DIV/0!</v>
      </c>
      <c r="L75" s="153" t="e">
        <f t="shared" si="23"/>
        <v>#DIV/0!</v>
      </c>
      <c r="M75" s="153" t="e">
        <f t="shared" si="23"/>
        <v>#DIV/0!</v>
      </c>
      <c r="N75" s="153" t="e">
        <f t="shared" si="23"/>
        <v>#DIV/0!</v>
      </c>
      <c r="O75" s="153" t="e">
        <f t="shared" si="23"/>
        <v>#DIV/0!</v>
      </c>
      <c r="P75" s="153" t="e">
        <f t="shared" si="23"/>
        <v>#DIV/0!</v>
      </c>
      <c r="Q75" s="153" t="e">
        <f t="shared" si="23"/>
        <v>#DIV/0!</v>
      </c>
      <c r="R75" s="153" t="e">
        <f t="shared" si="23"/>
        <v>#DIV/0!</v>
      </c>
      <c r="S75" s="17"/>
      <c r="T75" s="17"/>
      <c r="U75" s="17"/>
      <c r="V75" s="17"/>
      <c r="W75" s="19"/>
    </row>
    <row r="76" spans="1:23" ht="14.25" customHeight="1" x14ac:dyDescent="0.2">
      <c r="A76" s="152"/>
      <c r="B76" s="152"/>
      <c r="C76" s="152"/>
      <c r="D76" s="152" t="s">
        <v>66</v>
      </c>
      <c r="E76" s="153" t="e">
        <f>TTEST(E36:E45,E60:E69,2,2)</f>
        <v>#DIV/0!</v>
      </c>
      <c r="F76" s="153" t="e">
        <f t="shared" ref="F76:R76" si="24">TTEST(F36:F45,F60:F69,2,2)</f>
        <v>#DIV/0!</v>
      </c>
      <c r="G76" s="153" t="e">
        <f t="shared" si="24"/>
        <v>#DIV/0!</v>
      </c>
      <c r="H76" s="153" t="e">
        <f t="shared" si="24"/>
        <v>#DIV/0!</v>
      </c>
      <c r="I76" s="153" t="e">
        <f t="shared" si="24"/>
        <v>#DIV/0!</v>
      </c>
      <c r="J76" s="153" t="e">
        <f t="shared" si="24"/>
        <v>#DIV/0!</v>
      </c>
      <c r="K76" s="153" t="e">
        <f t="shared" si="24"/>
        <v>#DIV/0!</v>
      </c>
      <c r="L76" s="153" t="e">
        <f t="shared" si="24"/>
        <v>#DIV/0!</v>
      </c>
      <c r="M76" s="153" t="e">
        <f t="shared" si="24"/>
        <v>#DIV/0!</v>
      </c>
      <c r="N76" s="153" t="e">
        <f t="shared" si="24"/>
        <v>#DIV/0!</v>
      </c>
      <c r="O76" s="153" t="e">
        <f t="shared" si="24"/>
        <v>#DIV/0!</v>
      </c>
      <c r="P76" s="153" t="e">
        <f t="shared" si="24"/>
        <v>#DIV/0!</v>
      </c>
      <c r="Q76" s="153" t="e">
        <f t="shared" si="24"/>
        <v>#DIV/0!</v>
      </c>
      <c r="R76" s="153" t="e">
        <f t="shared" si="24"/>
        <v>#DIV/0!</v>
      </c>
      <c r="S76" s="17"/>
      <c r="T76" s="17"/>
      <c r="U76" s="17"/>
      <c r="V76" s="17"/>
      <c r="W76" s="19"/>
    </row>
    <row r="77" spans="1:23" ht="14.25" customHeight="1" x14ac:dyDescent="0.2">
      <c r="A77" s="152"/>
      <c r="B77" s="152"/>
      <c r="C77" s="152"/>
      <c r="D77" s="152" t="s">
        <v>67</v>
      </c>
      <c r="E77" s="153" t="e">
        <f>TTEST(E48:E57,E60:E69,2,2)</f>
        <v>#DIV/0!</v>
      </c>
      <c r="F77" s="153" t="e">
        <f t="shared" ref="F77:R77" si="25">TTEST(F48:F57,F60:F69,2,2)</f>
        <v>#DIV/0!</v>
      </c>
      <c r="G77" s="153" t="e">
        <f t="shared" si="25"/>
        <v>#DIV/0!</v>
      </c>
      <c r="H77" s="153" t="e">
        <f t="shared" si="25"/>
        <v>#DIV/0!</v>
      </c>
      <c r="I77" s="153" t="e">
        <f t="shared" si="25"/>
        <v>#DIV/0!</v>
      </c>
      <c r="J77" s="153" t="e">
        <f t="shared" si="25"/>
        <v>#DIV/0!</v>
      </c>
      <c r="K77" s="153" t="e">
        <f t="shared" si="25"/>
        <v>#DIV/0!</v>
      </c>
      <c r="L77" s="153" t="e">
        <f t="shared" si="25"/>
        <v>#DIV/0!</v>
      </c>
      <c r="M77" s="153" t="e">
        <f t="shared" si="25"/>
        <v>#DIV/0!</v>
      </c>
      <c r="N77" s="153" t="e">
        <f t="shared" si="25"/>
        <v>#DIV/0!</v>
      </c>
      <c r="O77" s="153" t="e">
        <f t="shared" si="25"/>
        <v>#DIV/0!</v>
      </c>
      <c r="P77" s="153" t="e">
        <f t="shared" si="25"/>
        <v>#DIV/0!</v>
      </c>
      <c r="Q77" s="153" t="e">
        <f t="shared" si="25"/>
        <v>#DIV/0!</v>
      </c>
      <c r="R77" s="153" t="e">
        <f t="shared" si="25"/>
        <v>#DIV/0!</v>
      </c>
      <c r="S77" s="17"/>
      <c r="T77" s="17"/>
      <c r="U77" s="17"/>
      <c r="V77" s="17"/>
      <c r="W77" s="19"/>
    </row>
    <row r="78" spans="1:23" ht="14.25" customHeight="1" x14ac:dyDescent="0.2">
      <c r="A78" s="29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5"/>
    </row>
  </sheetData>
  <sheetProtection algorithmName="SHA-512" hashValue="MieAfKTsIc/Xq2MtLRBCWDJSzkGiQNMMrV8t8cPao3zcD4Ld4pH7oGrWwe+NPGr+smdBNAwflJn03kFn322lug==" saltValue="nS+yMkK/fakC6F5aPm7/gg==" spinCount="100000" sheet="1" objects="1" scenarios="1"/>
  <mergeCells count="15">
    <mergeCell ref="A25:A26"/>
    <mergeCell ref="A37:A38"/>
    <mergeCell ref="A49:A50"/>
    <mergeCell ref="A61:A62"/>
    <mergeCell ref="O2:W2"/>
    <mergeCell ref="H2:N2"/>
    <mergeCell ref="A2:G2"/>
    <mergeCell ref="G21:H21"/>
    <mergeCell ref="E21:F21"/>
    <mergeCell ref="Q21:R21"/>
    <mergeCell ref="O21:P21"/>
    <mergeCell ref="M21:N21"/>
    <mergeCell ref="K21:L21"/>
    <mergeCell ref="I21:J21"/>
    <mergeCell ref="A19:D20"/>
  </mergeCells>
  <conditionalFormatting sqref="E72:R77">
    <cfRule type="cellIs" dxfId="8" priority="1" operator="lessThan">
      <formula>0.05</formula>
    </cfRule>
    <cfRule type="cellIs" dxfId="7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2"/>
  <sheetViews>
    <sheetView zoomScaleNormal="100" workbookViewId="0">
      <selection activeCell="A5" sqref="A5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38</v>
      </c>
      <c r="R5" s="214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39</v>
      </c>
      <c r="F6" s="46" t="s">
        <v>40</v>
      </c>
      <c r="G6" s="26" t="s">
        <v>39</v>
      </c>
      <c r="H6" s="47" t="s">
        <v>40</v>
      </c>
      <c r="I6" s="48" t="s">
        <v>39</v>
      </c>
      <c r="J6" s="46" t="s">
        <v>40</v>
      </c>
      <c r="K6" s="26" t="s">
        <v>39</v>
      </c>
      <c r="L6" s="47" t="s">
        <v>40</v>
      </c>
      <c r="M6" s="26" t="s">
        <v>39</v>
      </c>
      <c r="N6" s="47" t="s">
        <v>40</v>
      </c>
      <c r="O6" s="26" t="s">
        <v>39</v>
      </c>
      <c r="P6" s="47" t="s">
        <v>40</v>
      </c>
      <c r="Q6" s="26" t="s">
        <v>39</v>
      </c>
      <c r="R6" s="47" t="s">
        <v>40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41</v>
      </c>
      <c r="C7" s="30" t="s">
        <v>42</v>
      </c>
      <c r="D7" s="31" t="s">
        <v>43</v>
      </c>
      <c r="E7" s="32" t="s">
        <v>44</v>
      </c>
      <c r="F7" s="33" t="s">
        <v>45</v>
      </c>
      <c r="G7" s="32" t="s">
        <v>44</v>
      </c>
      <c r="H7" s="32" t="s">
        <v>45</v>
      </c>
      <c r="I7" s="49" t="s">
        <v>44</v>
      </c>
      <c r="J7" s="33" t="s">
        <v>45</v>
      </c>
      <c r="K7" s="32" t="s">
        <v>44</v>
      </c>
      <c r="L7" s="32" t="s">
        <v>45</v>
      </c>
      <c r="M7" s="32" t="s">
        <v>44</v>
      </c>
      <c r="N7" s="32" t="s">
        <v>45</v>
      </c>
      <c r="O7" s="32" t="s">
        <v>44</v>
      </c>
      <c r="P7" s="32" t="s">
        <v>45</v>
      </c>
      <c r="Q7" s="32" t="s">
        <v>44</v>
      </c>
      <c r="R7" s="32" t="s">
        <v>45</v>
      </c>
      <c r="S7" s="17"/>
      <c r="T7" s="17"/>
      <c r="U7" s="17"/>
      <c r="V7" s="17"/>
      <c r="W7" s="19"/>
    </row>
    <row r="8" spans="1:23" ht="14.25" customHeight="1" x14ac:dyDescent="0.2">
      <c r="A8" s="34" t="s">
        <v>46</v>
      </c>
      <c r="B8" s="73">
        <v>1</v>
      </c>
      <c r="C8" s="74" t="s">
        <v>80</v>
      </c>
      <c r="D8" s="181">
        <v>497</v>
      </c>
      <c r="E8" s="75">
        <v>20.266500000000001</v>
      </c>
      <c r="F8" s="76">
        <v>59</v>
      </c>
      <c r="G8" s="75">
        <v>19.057400000000001</v>
      </c>
      <c r="H8" s="76">
        <v>39</v>
      </c>
      <c r="I8" s="77">
        <v>20.0534</v>
      </c>
      <c r="J8" s="78">
        <v>46</v>
      </c>
      <c r="K8" s="75">
        <v>21.877600000000001</v>
      </c>
      <c r="L8" s="76">
        <v>47</v>
      </c>
      <c r="M8" s="77">
        <v>27.344200000000001</v>
      </c>
      <c r="N8" s="78">
        <v>42</v>
      </c>
      <c r="O8" s="75">
        <v>23.088699999999999</v>
      </c>
      <c r="P8" s="76">
        <v>46</v>
      </c>
      <c r="Q8" s="77">
        <f>AVERAGE(E8,G8,I8,K8,M8,O8)</f>
        <v>21.94796666666667</v>
      </c>
      <c r="R8" s="76">
        <f>SUM(F8,H8,J8,L8,N8,P8)</f>
        <v>279</v>
      </c>
      <c r="S8" s="17"/>
      <c r="T8" s="17"/>
      <c r="U8" s="17"/>
      <c r="V8" s="17"/>
      <c r="W8" s="19"/>
    </row>
    <row r="9" spans="1:23" ht="14.25" customHeight="1" x14ac:dyDescent="0.2">
      <c r="A9" s="206" t="s">
        <v>87</v>
      </c>
      <c r="B9" s="79">
        <v>2</v>
      </c>
      <c r="C9" s="74" t="s">
        <v>80</v>
      </c>
      <c r="D9" s="181">
        <v>498</v>
      </c>
      <c r="E9" s="80">
        <v>10.488799999999999</v>
      </c>
      <c r="F9" s="81">
        <v>33</v>
      </c>
      <c r="G9" s="80">
        <v>21.557300000000001</v>
      </c>
      <c r="H9" s="81">
        <v>53</v>
      </c>
      <c r="I9" s="82">
        <v>24.5533</v>
      </c>
      <c r="J9" s="83">
        <v>46</v>
      </c>
      <c r="K9" s="80">
        <v>19.610900000000001</v>
      </c>
      <c r="L9" s="81">
        <v>45</v>
      </c>
      <c r="M9" s="82">
        <v>29.593599999999999</v>
      </c>
      <c r="N9" s="83">
        <v>41</v>
      </c>
      <c r="O9" s="80">
        <v>42.183500000000002</v>
      </c>
      <c r="P9" s="83">
        <v>33</v>
      </c>
      <c r="Q9" s="80">
        <f t="shared" ref="Q9:Q12" si="0">AVERAGE(E9,G9,I9,K9,M9,O9)</f>
        <v>24.664566666666669</v>
      </c>
      <c r="R9" s="81">
        <f t="shared" ref="R9:R12" si="1">SUM(F9,H9,J9,L9,N9,P9)</f>
        <v>251</v>
      </c>
      <c r="S9" s="17"/>
      <c r="T9" s="17"/>
      <c r="U9" s="17"/>
      <c r="V9" s="17"/>
      <c r="W9" s="19"/>
    </row>
    <row r="10" spans="1:23" ht="14.25" customHeight="1" x14ac:dyDescent="0.2">
      <c r="A10" s="206"/>
      <c r="B10" s="79">
        <v>3</v>
      </c>
      <c r="C10" s="74" t="s">
        <v>80</v>
      </c>
      <c r="D10" s="181">
        <v>499</v>
      </c>
      <c r="E10" s="80">
        <v>20.377600000000001</v>
      </c>
      <c r="F10" s="81">
        <v>44</v>
      </c>
      <c r="G10" s="80">
        <v>24.157299999999999</v>
      </c>
      <c r="H10" s="81">
        <v>29</v>
      </c>
      <c r="I10" s="82">
        <v>20.775600000000001</v>
      </c>
      <c r="J10" s="83">
        <v>27</v>
      </c>
      <c r="K10" s="80">
        <v>36.699599999999997</v>
      </c>
      <c r="L10" s="81">
        <v>41</v>
      </c>
      <c r="M10" s="82">
        <v>21.533100000000001</v>
      </c>
      <c r="N10" s="83">
        <v>41</v>
      </c>
      <c r="O10" s="80">
        <v>42.188499999999998</v>
      </c>
      <c r="P10" s="83">
        <v>42</v>
      </c>
      <c r="Q10" s="80">
        <f t="shared" si="0"/>
        <v>27.621949999999998</v>
      </c>
      <c r="R10" s="81">
        <f t="shared" si="1"/>
        <v>224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80</v>
      </c>
      <c r="D11" s="181">
        <v>500</v>
      </c>
      <c r="E11" s="80">
        <v>10.988799999999999</v>
      </c>
      <c r="F11" s="81">
        <v>37</v>
      </c>
      <c r="G11" s="80">
        <v>31.210799999999999</v>
      </c>
      <c r="H11" s="81">
        <v>21</v>
      </c>
      <c r="I11" s="82">
        <v>22.2331</v>
      </c>
      <c r="J11" s="83">
        <v>23</v>
      </c>
      <c r="K11" s="80">
        <v>10.088800000000001</v>
      </c>
      <c r="L11" s="81">
        <v>19</v>
      </c>
      <c r="M11" s="82">
        <v>10.7888</v>
      </c>
      <c r="N11" s="83">
        <v>24</v>
      </c>
      <c r="O11" s="80">
        <v>7.9665900000000001</v>
      </c>
      <c r="P11" s="83">
        <v>6</v>
      </c>
      <c r="Q11" s="80">
        <f t="shared" si="0"/>
        <v>15.546148333333333</v>
      </c>
      <c r="R11" s="81">
        <f t="shared" si="1"/>
        <v>130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 t="s">
        <v>80</v>
      </c>
      <c r="D12" s="181">
        <v>585</v>
      </c>
      <c r="E12" s="80">
        <v>14.1221</v>
      </c>
      <c r="F12" s="81">
        <v>32</v>
      </c>
      <c r="G12" s="80">
        <v>19.824000000000002</v>
      </c>
      <c r="H12" s="81">
        <v>31</v>
      </c>
      <c r="I12" s="82">
        <v>26.075500000000002</v>
      </c>
      <c r="J12" s="83">
        <v>29</v>
      </c>
      <c r="K12" s="80">
        <v>22.377600000000001</v>
      </c>
      <c r="L12" s="81">
        <v>29</v>
      </c>
      <c r="M12" s="82">
        <v>20.399799999999999</v>
      </c>
      <c r="N12" s="83">
        <v>27</v>
      </c>
      <c r="O12" s="80">
        <v>27.988600000000002</v>
      </c>
      <c r="P12" s="83">
        <v>23</v>
      </c>
      <c r="Q12" s="80">
        <f t="shared" si="0"/>
        <v>21.797933333333333</v>
      </c>
      <c r="R12" s="81">
        <f t="shared" si="1"/>
        <v>171</v>
      </c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 t="s">
        <v>80</v>
      </c>
      <c r="D13" s="181">
        <v>586</v>
      </c>
      <c r="E13" s="80">
        <v>14.9665</v>
      </c>
      <c r="F13" s="81">
        <v>56</v>
      </c>
      <c r="G13" s="80">
        <v>17.644300000000001</v>
      </c>
      <c r="H13" s="81">
        <v>42</v>
      </c>
      <c r="I13" s="82">
        <v>19.3109</v>
      </c>
      <c r="J13" s="83">
        <v>46</v>
      </c>
      <c r="K13" s="80">
        <v>24.344200000000001</v>
      </c>
      <c r="L13" s="81">
        <v>34</v>
      </c>
      <c r="M13" s="82">
        <v>20.477599999999999</v>
      </c>
      <c r="N13" s="83">
        <v>35</v>
      </c>
      <c r="O13" s="80">
        <v>32.150100000000002</v>
      </c>
      <c r="P13" s="83">
        <v>21</v>
      </c>
      <c r="Q13" s="80">
        <f t="shared" ref="Q13:Q15" si="2">AVERAGE(E13,G13,I13,K13,M13,O13)</f>
        <v>21.482266666666664</v>
      </c>
      <c r="R13" s="81">
        <f t="shared" ref="R13:R15" si="3">SUM(F13,H13,J13,L13,N13,P13)</f>
        <v>234</v>
      </c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 t="s">
        <v>80</v>
      </c>
      <c r="D14" s="191">
        <v>587</v>
      </c>
      <c r="E14" s="80">
        <v>33.300699999999999</v>
      </c>
      <c r="F14" s="81">
        <v>36</v>
      </c>
      <c r="G14" s="80">
        <v>27.132100000000001</v>
      </c>
      <c r="H14" s="81">
        <v>27</v>
      </c>
      <c r="I14" s="82">
        <v>18.610900000000001</v>
      </c>
      <c r="J14" s="83">
        <v>19</v>
      </c>
      <c r="K14" s="80">
        <v>15.411</v>
      </c>
      <c r="L14" s="81">
        <v>20</v>
      </c>
      <c r="M14" s="82">
        <v>22.122</v>
      </c>
      <c r="N14" s="83">
        <v>24</v>
      </c>
      <c r="O14" s="80">
        <v>30.410799999999998</v>
      </c>
      <c r="P14" s="81">
        <v>37</v>
      </c>
      <c r="Q14" s="80">
        <f t="shared" si="2"/>
        <v>24.497916666666669</v>
      </c>
      <c r="R14" s="81">
        <f t="shared" si="3"/>
        <v>163</v>
      </c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 t="s">
        <v>80</v>
      </c>
      <c r="D15" s="191">
        <v>588</v>
      </c>
      <c r="E15" s="80">
        <v>12.9009</v>
      </c>
      <c r="F15" s="81">
        <v>30</v>
      </c>
      <c r="G15" s="80">
        <v>15.387700000000001</v>
      </c>
      <c r="H15" s="81">
        <v>28</v>
      </c>
      <c r="I15" s="82">
        <v>18.755400000000002</v>
      </c>
      <c r="J15" s="83">
        <v>36</v>
      </c>
      <c r="K15" s="80">
        <v>12.855399999999999</v>
      </c>
      <c r="L15" s="81">
        <v>28</v>
      </c>
      <c r="M15" s="82">
        <v>21.255299999999998</v>
      </c>
      <c r="N15" s="83">
        <v>35</v>
      </c>
      <c r="O15" s="80">
        <v>22.305800000000001</v>
      </c>
      <c r="P15" s="81">
        <v>37</v>
      </c>
      <c r="Q15" s="80">
        <f t="shared" si="2"/>
        <v>17.243416666666665</v>
      </c>
      <c r="R15" s="81">
        <f t="shared" si="3"/>
        <v>194</v>
      </c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6"/>
      <c r="Q16" s="87"/>
      <c r="R16" s="81"/>
      <c r="S16" s="17"/>
      <c r="T16" s="17"/>
      <c r="U16" s="17"/>
      <c r="V16" s="17"/>
      <c r="W16" s="19"/>
    </row>
    <row r="17" spans="1:23" ht="14.25" customHeight="1" x14ac:dyDescent="0.2">
      <c r="A17" s="35"/>
      <c r="B17" s="192">
        <v>10</v>
      </c>
      <c r="C17" s="193"/>
      <c r="D17" s="194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90"/>
      <c r="Q17" s="91"/>
      <c r="R17" s="154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47</v>
      </c>
      <c r="E18" s="95">
        <f>AVERAGE(E8:E17)</f>
        <v>17.1764875</v>
      </c>
      <c r="F18" s="96">
        <f t="shared" ref="F18:R18" si="4">AVERAGE(F8:F17)</f>
        <v>40.875</v>
      </c>
      <c r="G18" s="97">
        <f t="shared" si="4"/>
        <v>21.9963625</v>
      </c>
      <c r="H18" s="98">
        <f t="shared" si="4"/>
        <v>33.75</v>
      </c>
      <c r="I18" s="99">
        <f t="shared" si="4"/>
        <v>21.296012500000003</v>
      </c>
      <c r="J18" s="99">
        <f t="shared" si="4"/>
        <v>34</v>
      </c>
      <c r="K18" s="97">
        <f t="shared" si="4"/>
        <v>20.408137499999999</v>
      </c>
      <c r="L18" s="98">
        <f t="shared" si="4"/>
        <v>32.875</v>
      </c>
      <c r="M18" s="99">
        <f t="shared" si="4"/>
        <v>21.689299999999999</v>
      </c>
      <c r="N18" s="99">
        <f t="shared" si="4"/>
        <v>33.625</v>
      </c>
      <c r="O18" s="97">
        <f t="shared" si="4"/>
        <v>28.53532375</v>
      </c>
      <c r="P18" s="98">
        <f t="shared" si="4"/>
        <v>30.625</v>
      </c>
      <c r="Q18" s="100">
        <f t="shared" si="4"/>
        <v>21.850270625</v>
      </c>
      <c r="R18" s="98">
        <f t="shared" si="4"/>
        <v>205.75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48</v>
      </c>
      <c r="E19" s="101">
        <f>STDEV(E8:E17)/SQRT(COUNT(E8:E17))</f>
        <v>2.656838024488986</v>
      </c>
      <c r="F19" s="102">
        <f t="shared" ref="F19:R19" si="5">STDEV(F8:F17)/SQRT(COUNT(F8:F17))</f>
        <v>3.9299104860761687</v>
      </c>
      <c r="G19" s="101">
        <f t="shared" si="5"/>
        <v>1.8521975959015247</v>
      </c>
      <c r="H19" s="102">
        <f t="shared" si="5"/>
        <v>3.629000255875281</v>
      </c>
      <c r="I19" s="103">
        <f t="shared" si="5"/>
        <v>0.97972010624708317</v>
      </c>
      <c r="J19" s="103">
        <f t="shared" si="5"/>
        <v>3.9096949095440023</v>
      </c>
      <c r="K19" s="101">
        <f t="shared" si="5"/>
        <v>2.9157270043517896</v>
      </c>
      <c r="L19" s="102">
        <f t="shared" si="5"/>
        <v>3.8052477861876106</v>
      </c>
      <c r="M19" s="103">
        <f t="shared" si="5"/>
        <v>1.967629845143644</v>
      </c>
      <c r="N19" s="103">
        <f t="shared" si="5"/>
        <v>2.7119938632463225</v>
      </c>
      <c r="O19" s="101">
        <f t="shared" si="5"/>
        <v>3.9666249294438578</v>
      </c>
      <c r="P19" s="102">
        <f t="shared" si="5"/>
        <v>4.6481082941650262</v>
      </c>
      <c r="Q19" s="103">
        <f t="shared" si="5"/>
        <v>1.3974169184580714</v>
      </c>
      <c r="R19" s="102">
        <f t="shared" si="5"/>
        <v>17.655179329105017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49</v>
      </c>
      <c r="B20" s="37">
        <v>1</v>
      </c>
      <c r="C20" s="104" t="s">
        <v>80</v>
      </c>
      <c r="D20" s="182">
        <v>473</v>
      </c>
      <c r="E20" s="82">
        <v>3.8999600000000001</v>
      </c>
      <c r="F20" s="81">
        <v>20</v>
      </c>
      <c r="G20" s="75">
        <v>12.5221</v>
      </c>
      <c r="H20" s="76">
        <v>31</v>
      </c>
      <c r="I20" s="77">
        <v>26.710799999999999</v>
      </c>
      <c r="J20" s="78">
        <v>32</v>
      </c>
      <c r="K20" s="75">
        <v>29.555299999999999</v>
      </c>
      <c r="L20" s="76">
        <v>47</v>
      </c>
      <c r="M20" s="77">
        <v>22.899799999999999</v>
      </c>
      <c r="N20" s="78">
        <v>36</v>
      </c>
      <c r="O20" s="75">
        <v>30.533000000000001</v>
      </c>
      <c r="P20" s="76">
        <v>43</v>
      </c>
      <c r="Q20" s="80">
        <f t="shared" ref="Q20:Q21" si="6">AVERAGE(E20,G20,I20,K20,M20,O20)</f>
        <v>21.020160000000001</v>
      </c>
      <c r="R20" s="81">
        <f t="shared" ref="R20:R21" si="7">SUM(F20,H20,J20,L20,N20,P20)</f>
        <v>209</v>
      </c>
      <c r="S20" s="17"/>
      <c r="T20" s="17"/>
      <c r="U20" s="17"/>
      <c r="V20" s="17"/>
      <c r="W20" s="19"/>
    </row>
    <row r="21" spans="1:23" ht="14.25" customHeight="1" x14ac:dyDescent="0.2">
      <c r="A21" s="207" t="s">
        <v>88</v>
      </c>
      <c r="B21" s="39">
        <v>2</v>
      </c>
      <c r="C21" s="107" t="s">
        <v>80</v>
      </c>
      <c r="D21" s="183">
        <v>474</v>
      </c>
      <c r="E21" s="82">
        <v>10.010999999999999</v>
      </c>
      <c r="F21" s="81">
        <v>30</v>
      </c>
      <c r="G21" s="80">
        <v>29.312799999999999</v>
      </c>
      <c r="H21" s="81">
        <v>46</v>
      </c>
      <c r="I21" s="82">
        <v>29.775500000000001</v>
      </c>
      <c r="J21" s="83">
        <v>44</v>
      </c>
      <c r="K21" s="80">
        <v>35.710799999999999</v>
      </c>
      <c r="L21" s="81">
        <v>33</v>
      </c>
      <c r="M21" s="82">
        <v>22.8553</v>
      </c>
      <c r="N21" s="83">
        <v>32</v>
      </c>
      <c r="O21" s="80">
        <v>36.299599999999998</v>
      </c>
      <c r="P21" s="81">
        <v>32</v>
      </c>
      <c r="Q21" s="80">
        <f t="shared" si="6"/>
        <v>27.327500000000001</v>
      </c>
      <c r="R21" s="81">
        <f t="shared" si="7"/>
        <v>217</v>
      </c>
      <c r="S21" s="17"/>
      <c r="T21" s="17"/>
      <c r="U21" s="17"/>
      <c r="V21" s="17"/>
      <c r="W21" s="19"/>
    </row>
    <row r="22" spans="1:23" ht="14.25" customHeight="1" x14ac:dyDescent="0.2">
      <c r="A22" s="207"/>
      <c r="B22" s="39">
        <v>3</v>
      </c>
      <c r="C22" s="107" t="s">
        <v>80</v>
      </c>
      <c r="D22" s="183">
        <v>475</v>
      </c>
      <c r="E22" s="82">
        <v>10.600899999999999</v>
      </c>
      <c r="F22" s="81">
        <v>41</v>
      </c>
      <c r="G22" s="80">
        <v>24.543199999999999</v>
      </c>
      <c r="H22" s="81">
        <v>41</v>
      </c>
      <c r="I22" s="82">
        <v>16.6221</v>
      </c>
      <c r="J22" s="83">
        <v>38</v>
      </c>
      <c r="K22" s="80">
        <v>15.188700000000001</v>
      </c>
      <c r="L22" s="81">
        <v>29</v>
      </c>
      <c r="M22" s="82">
        <v>13.811</v>
      </c>
      <c r="N22" s="83">
        <v>27</v>
      </c>
      <c r="O22" s="80">
        <v>25.521999999999998</v>
      </c>
      <c r="P22" s="81">
        <v>36</v>
      </c>
      <c r="Q22" s="80">
        <f t="shared" ref="Q22" si="8">AVERAGE(E22,G22,I22,K22,M22,O22)</f>
        <v>17.714649999999995</v>
      </c>
      <c r="R22" s="81">
        <f t="shared" ref="R22" si="9">SUM(F22,H22,J22,L22,N22,P22)</f>
        <v>212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7" t="s">
        <v>80</v>
      </c>
      <c r="D23" s="183">
        <v>496</v>
      </c>
      <c r="E23" s="109">
        <v>8.3009199999999996</v>
      </c>
      <c r="F23" s="110">
        <v>37</v>
      </c>
      <c r="G23" s="111">
        <v>10.554399999999999</v>
      </c>
      <c r="H23" s="110">
        <v>28</v>
      </c>
      <c r="I23" s="109">
        <v>17.022099999999998</v>
      </c>
      <c r="J23" s="112">
        <v>24</v>
      </c>
      <c r="K23" s="111">
        <v>21.210899999999999</v>
      </c>
      <c r="L23" s="110">
        <v>21</v>
      </c>
      <c r="M23" s="109">
        <v>13.6271</v>
      </c>
      <c r="N23" s="112">
        <v>23</v>
      </c>
      <c r="O23" s="111">
        <v>12.2342</v>
      </c>
      <c r="P23" s="110">
        <v>21</v>
      </c>
      <c r="Q23" s="80">
        <f t="shared" ref="Q23" si="10">AVERAGE(E23,G23,I23,K23,M23,O23)</f>
        <v>13.824936666666666</v>
      </c>
      <c r="R23" s="81">
        <f t="shared" ref="R23" si="11">SUM(F23,H23,J23,L23,N23,P23)</f>
        <v>154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7" t="s">
        <v>80</v>
      </c>
      <c r="D24" s="183">
        <v>581</v>
      </c>
      <c r="E24" s="109">
        <v>2.8444199999999999</v>
      </c>
      <c r="F24" s="110">
        <v>14</v>
      </c>
      <c r="G24" s="111">
        <v>8.9332399999999996</v>
      </c>
      <c r="H24" s="110">
        <v>32</v>
      </c>
      <c r="I24" s="109">
        <v>19.588699999999999</v>
      </c>
      <c r="J24" s="112">
        <v>44</v>
      </c>
      <c r="K24" s="111">
        <v>13.855399999999999</v>
      </c>
      <c r="L24" s="110">
        <v>36</v>
      </c>
      <c r="M24" s="109">
        <v>21.333100000000002</v>
      </c>
      <c r="N24" s="112">
        <v>38</v>
      </c>
      <c r="O24" s="111">
        <v>27.4724</v>
      </c>
      <c r="P24" s="110">
        <v>36</v>
      </c>
      <c r="Q24" s="80">
        <f t="shared" ref="Q24:Q27" si="12">AVERAGE(E24,G24,I24,K24,M24,O24)</f>
        <v>15.671210000000002</v>
      </c>
      <c r="R24" s="81">
        <f t="shared" ref="R24:R27" si="13">SUM(F24,H24,J24,L24,N24,P24)</f>
        <v>200</v>
      </c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7" t="s">
        <v>80</v>
      </c>
      <c r="D25" s="183">
        <v>582</v>
      </c>
      <c r="E25" s="109">
        <v>9.1221300000000003</v>
      </c>
      <c r="F25" s="110">
        <v>30</v>
      </c>
      <c r="G25" s="111">
        <v>19.910900000000002</v>
      </c>
      <c r="H25" s="110">
        <v>45</v>
      </c>
      <c r="I25" s="109">
        <v>18.988700000000001</v>
      </c>
      <c r="J25" s="112">
        <v>21</v>
      </c>
      <c r="K25" s="111">
        <v>21.4665</v>
      </c>
      <c r="L25" s="110">
        <v>43</v>
      </c>
      <c r="M25" s="109">
        <v>8.8776899999999994</v>
      </c>
      <c r="N25" s="112">
        <v>25</v>
      </c>
      <c r="O25" s="111">
        <v>34.899700000000003</v>
      </c>
      <c r="P25" s="110">
        <v>43</v>
      </c>
      <c r="Q25" s="80">
        <f t="shared" si="12"/>
        <v>18.877603333333337</v>
      </c>
      <c r="R25" s="81">
        <f t="shared" si="13"/>
        <v>207</v>
      </c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7" t="s">
        <v>80</v>
      </c>
      <c r="D26" s="190">
        <v>583</v>
      </c>
      <c r="E26" s="111">
        <v>8.5776900000000005</v>
      </c>
      <c r="F26" s="110">
        <v>31</v>
      </c>
      <c r="G26" s="111">
        <v>13.6999</v>
      </c>
      <c r="H26" s="110">
        <v>41</v>
      </c>
      <c r="I26" s="109">
        <v>23.9998</v>
      </c>
      <c r="J26" s="112">
        <v>50</v>
      </c>
      <c r="K26" s="111">
        <v>11.088800000000001</v>
      </c>
      <c r="L26" s="110">
        <v>21</v>
      </c>
      <c r="M26" s="109">
        <v>21.377600000000001</v>
      </c>
      <c r="N26" s="112">
        <v>17</v>
      </c>
      <c r="O26" s="111">
        <v>14.055400000000001</v>
      </c>
      <c r="P26" s="110">
        <v>31</v>
      </c>
      <c r="Q26" s="80">
        <f t="shared" si="12"/>
        <v>15.466531666666667</v>
      </c>
      <c r="R26" s="81">
        <f t="shared" si="13"/>
        <v>191</v>
      </c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7" t="s">
        <v>80</v>
      </c>
      <c r="D27" s="190">
        <v>584</v>
      </c>
      <c r="E27" s="111">
        <v>9.9221199999999996</v>
      </c>
      <c r="F27" s="115">
        <v>35</v>
      </c>
      <c r="G27" s="111">
        <v>30.077500000000001</v>
      </c>
      <c r="H27" s="115">
        <v>46</v>
      </c>
      <c r="I27" s="109">
        <v>17.444299999999998</v>
      </c>
      <c r="J27" s="109">
        <v>28</v>
      </c>
      <c r="K27" s="111">
        <v>16.737200000000001</v>
      </c>
      <c r="L27" s="115">
        <v>30</v>
      </c>
      <c r="M27" s="109">
        <v>27.662400000000002</v>
      </c>
      <c r="N27" s="109">
        <v>42</v>
      </c>
      <c r="O27" s="111">
        <v>26.1553</v>
      </c>
      <c r="P27" s="115">
        <v>36</v>
      </c>
      <c r="Q27" s="80">
        <f t="shared" si="12"/>
        <v>21.333136666666665</v>
      </c>
      <c r="R27" s="81">
        <f t="shared" si="13"/>
        <v>217</v>
      </c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4"/>
      <c r="D28" s="113"/>
      <c r="E28" s="111"/>
      <c r="F28" s="115"/>
      <c r="G28" s="111"/>
      <c r="H28" s="115"/>
      <c r="I28" s="109"/>
      <c r="J28" s="109"/>
      <c r="K28" s="111"/>
      <c r="L28" s="115"/>
      <c r="M28" s="109"/>
      <c r="N28" s="109"/>
      <c r="O28" s="111"/>
      <c r="P28" s="115"/>
      <c r="Q28" s="87"/>
      <c r="R28" s="81"/>
      <c r="S28" s="17"/>
      <c r="T28" s="17"/>
      <c r="U28" s="17"/>
      <c r="V28" s="17"/>
      <c r="W28" s="19"/>
    </row>
    <row r="29" spans="1:23" ht="14.25" customHeight="1" x14ac:dyDescent="0.2">
      <c r="A29" s="38"/>
      <c r="B29" s="195">
        <v>10</v>
      </c>
      <c r="C29" s="196"/>
      <c r="D29" s="197"/>
      <c r="E29" s="116"/>
      <c r="F29" s="117"/>
      <c r="G29" s="111"/>
      <c r="H29" s="115"/>
      <c r="I29" s="109"/>
      <c r="J29" s="109"/>
      <c r="K29" s="111"/>
      <c r="L29" s="115"/>
      <c r="M29" s="109"/>
      <c r="N29" s="109"/>
      <c r="O29" s="111"/>
      <c r="P29" s="115"/>
      <c r="Q29" s="87"/>
      <c r="R29" s="81"/>
      <c r="S29" s="17"/>
      <c r="T29" s="17"/>
      <c r="U29" s="17"/>
      <c r="V29" s="17"/>
      <c r="W29" s="19"/>
    </row>
    <row r="30" spans="1:23" ht="14.25" customHeight="1" x14ac:dyDescent="0.2">
      <c r="A30" s="118"/>
      <c r="B30" s="119"/>
      <c r="C30" s="119"/>
      <c r="D30" s="120" t="s">
        <v>47</v>
      </c>
      <c r="E30" s="95">
        <f>AVERAGE(E20:E29)</f>
        <v>7.9098924999999989</v>
      </c>
      <c r="F30" s="99">
        <f t="shared" ref="F30:R30" si="14">AVERAGE(F20:F29)</f>
        <v>29.75</v>
      </c>
      <c r="G30" s="95">
        <f t="shared" si="14"/>
        <v>18.694254999999998</v>
      </c>
      <c r="H30" s="96">
        <f t="shared" si="14"/>
        <v>38.75</v>
      </c>
      <c r="I30" s="99">
        <f t="shared" si="14"/>
        <v>21.268999999999998</v>
      </c>
      <c r="J30" s="99">
        <f t="shared" si="14"/>
        <v>35.125</v>
      </c>
      <c r="K30" s="95">
        <f t="shared" si="14"/>
        <v>20.601699999999997</v>
      </c>
      <c r="L30" s="96">
        <f t="shared" si="14"/>
        <v>32.5</v>
      </c>
      <c r="M30" s="99">
        <f t="shared" si="14"/>
        <v>19.055498750000002</v>
      </c>
      <c r="N30" s="99">
        <f t="shared" si="14"/>
        <v>30</v>
      </c>
      <c r="O30" s="95">
        <f t="shared" si="14"/>
        <v>25.896450000000002</v>
      </c>
      <c r="P30" s="96">
        <f t="shared" si="14"/>
        <v>34.75</v>
      </c>
      <c r="Q30" s="99">
        <f t="shared" si="14"/>
        <v>18.904466041666666</v>
      </c>
      <c r="R30" s="96">
        <f t="shared" si="14"/>
        <v>200.875</v>
      </c>
      <c r="S30" s="17"/>
      <c r="T30" s="17"/>
      <c r="U30" s="17"/>
      <c r="V30" s="17"/>
      <c r="W30" s="19"/>
    </row>
    <row r="31" spans="1:23" ht="14.25" customHeight="1" x14ac:dyDescent="0.2">
      <c r="A31" s="121"/>
      <c r="B31" s="122"/>
      <c r="C31" s="122"/>
      <c r="D31" s="123" t="s">
        <v>48</v>
      </c>
      <c r="E31" s="101">
        <f>STDEV(E20:E29)/SQRT(COUNT(E20:E29))</f>
        <v>1.0308819011387957</v>
      </c>
      <c r="F31" s="103">
        <f t="shared" ref="F31:R31" si="15">STDEV(F20:F29)/SQRT(COUNT(F20:F29))</f>
        <v>3.1381864644590967</v>
      </c>
      <c r="G31" s="101">
        <f t="shared" si="15"/>
        <v>2.9958181561297135</v>
      </c>
      <c r="H31" s="102">
        <f t="shared" si="15"/>
        <v>2.5894704367606018</v>
      </c>
      <c r="I31" s="103">
        <f t="shared" si="15"/>
        <v>1.7510830506738273</v>
      </c>
      <c r="J31" s="103">
        <f t="shared" si="15"/>
        <v>3.710205519913957</v>
      </c>
      <c r="K31" s="101">
        <f t="shared" si="15"/>
        <v>2.9574772635281126</v>
      </c>
      <c r="L31" s="102">
        <f t="shared" si="15"/>
        <v>3.3166247903553998</v>
      </c>
      <c r="M31" s="103">
        <f t="shared" si="15"/>
        <v>2.2137378841972528</v>
      </c>
      <c r="N31" s="103">
        <f t="shared" si="15"/>
        <v>2.988071523335984</v>
      </c>
      <c r="O31" s="101">
        <f t="shared" si="15"/>
        <v>3.106272487932396</v>
      </c>
      <c r="P31" s="102">
        <f t="shared" si="15"/>
        <v>2.5053514153279401</v>
      </c>
      <c r="Q31" s="103">
        <f t="shared" si="15"/>
        <v>1.5283829157495037</v>
      </c>
      <c r="R31" s="102">
        <f t="shared" si="15"/>
        <v>7.3713671439854744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58</v>
      </c>
      <c r="B32" s="40">
        <v>1</v>
      </c>
      <c r="C32" s="124"/>
      <c r="D32" s="184"/>
      <c r="E32" s="155"/>
      <c r="F32" s="156"/>
      <c r="G32" s="155"/>
      <c r="H32" s="157"/>
      <c r="I32" s="158"/>
      <c r="J32" s="156"/>
      <c r="K32" s="155"/>
      <c r="L32" s="157"/>
      <c r="M32" s="158"/>
      <c r="N32" s="156"/>
      <c r="O32" s="155"/>
      <c r="P32" s="157"/>
      <c r="Q32" s="80"/>
      <c r="R32" s="81"/>
      <c r="S32" s="17"/>
      <c r="T32" s="17"/>
      <c r="U32" s="17"/>
      <c r="V32" s="17"/>
      <c r="W32" s="19"/>
    </row>
    <row r="33" spans="1:23" ht="14.25" customHeight="1" x14ac:dyDescent="0.2">
      <c r="A33" s="208"/>
      <c r="B33" s="41">
        <v>2</v>
      </c>
      <c r="C33" s="124"/>
      <c r="D33" s="185"/>
      <c r="E33" s="159"/>
      <c r="F33" s="156"/>
      <c r="G33" s="159"/>
      <c r="H33" s="160"/>
      <c r="I33" s="158"/>
      <c r="J33" s="156"/>
      <c r="K33" s="159"/>
      <c r="L33" s="160"/>
      <c r="M33" s="158"/>
      <c r="N33" s="156"/>
      <c r="O33" s="159"/>
      <c r="P33" s="160"/>
      <c r="Q33" s="80"/>
      <c r="R33" s="81"/>
      <c r="S33" s="17"/>
      <c r="T33" s="17"/>
      <c r="U33" s="17"/>
      <c r="V33" s="17"/>
      <c r="W33" s="19"/>
    </row>
    <row r="34" spans="1:23" ht="14.25" customHeight="1" x14ac:dyDescent="0.2">
      <c r="A34" s="208"/>
      <c r="B34" s="43">
        <v>3</v>
      </c>
      <c r="C34" s="124"/>
      <c r="D34" s="185"/>
      <c r="E34" s="158"/>
      <c r="F34" s="156"/>
      <c r="G34" s="159"/>
      <c r="H34" s="160"/>
      <c r="I34" s="158"/>
      <c r="J34" s="156"/>
      <c r="K34" s="159"/>
      <c r="L34" s="160"/>
      <c r="M34" s="158"/>
      <c r="N34" s="156"/>
      <c r="O34" s="159"/>
      <c r="P34" s="160"/>
      <c r="Q34" s="80"/>
      <c r="R34" s="81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4"/>
      <c r="D35" s="185"/>
      <c r="E35" s="158"/>
      <c r="F35" s="156"/>
      <c r="G35" s="159"/>
      <c r="H35" s="160"/>
      <c r="I35" s="158"/>
      <c r="J35" s="156"/>
      <c r="K35" s="159"/>
      <c r="L35" s="160"/>
      <c r="M35" s="158"/>
      <c r="N35" s="156"/>
      <c r="O35" s="159"/>
      <c r="P35" s="160"/>
      <c r="Q35" s="80"/>
      <c r="R35" s="81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4"/>
      <c r="D36" s="185"/>
      <c r="E36" s="158"/>
      <c r="F36" s="156"/>
      <c r="G36" s="159"/>
      <c r="H36" s="160"/>
      <c r="I36" s="158"/>
      <c r="J36" s="156"/>
      <c r="K36" s="159"/>
      <c r="L36" s="160"/>
      <c r="M36" s="158"/>
      <c r="N36" s="156"/>
      <c r="O36" s="159"/>
      <c r="P36" s="160"/>
      <c r="Q36" s="80"/>
      <c r="R36" s="81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4"/>
      <c r="D37" s="185"/>
      <c r="E37" s="158"/>
      <c r="F37" s="156"/>
      <c r="G37" s="159"/>
      <c r="H37" s="160"/>
      <c r="I37" s="158"/>
      <c r="J37" s="156"/>
      <c r="K37" s="159"/>
      <c r="L37" s="160"/>
      <c r="M37" s="158"/>
      <c r="N37" s="156"/>
      <c r="O37" s="159"/>
      <c r="P37" s="160"/>
      <c r="Q37" s="80"/>
      <c r="R37" s="81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4"/>
      <c r="D38" s="186"/>
      <c r="E38" s="158"/>
      <c r="F38" s="156"/>
      <c r="G38" s="159"/>
      <c r="H38" s="160"/>
      <c r="I38" s="158"/>
      <c r="J38" s="156"/>
      <c r="K38" s="159"/>
      <c r="L38" s="160"/>
      <c r="M38" s="158"/>
      <c r="N38" s="156"/>
      <c r="O38" s="159"/>
      <c r="P38" s="160"/>
      <c r="Q38" s="80"/>
      <c r="R38" s="81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4"/>
      <c r="D39" s="186"/>
      <c r="E39" s="158"/>
      <c r="F39" s="156"/>
      <c r="G39" s="159"/>
      <c r="H39" s="160"/>
      <c r="I39" s="158"/>
      <c r="J39" s="156"/>
      <c r="K39" s="159"/>
      <c r="L39" s="160"/>
      <c r="M39" s="158"/>
      <c r="N39" s="156"/>
      <c r="O39" s="159"/>
      <c r="P39" s="160"/>
      <c r="Q39" s="80"/>
      <c r="R39" s="81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2"/>
      <c r="D40" s="131"/>
      <c r="E40" s="158"/>
      <c r="F40" s="158"/>
      <c r="G40" s="159"/>
      <c r="H40" s="161"/>
      <c r="I40" s="158"/>
      <c r="J40" s="158"/>
      <c r="K40" s="159"/>
      <c r="L40" s="161"/>
      <c r="M40" s="158"/>
      <c r="N40" s="156"/>
      <c r="O40" s="159"/>
      <c r="P40" s="160"/>
      <c r="Q40" s="159"/>
      <c r="R40" s="160"/>
      <c r="S40" s="17"/>
      <c r="T40" s="17"/>
      <c r="U40" s="17"/>
      <c r="V40" s="17"/>
      <c r="W40" s="19"/>
    </row>
    <row r="41" spans="1:23" ht="14.25" customHeight="1" x14ac:dyDescent="0.2">
      <c r="A41" s="42"/>
      <c r="B41" s="198">
        <v>10</v>
      </c>
      <c r="C41" s="199"/>
      <c r="D41" s="200"/>
      <c r="E41" s="158"/>
      <c r="F41" s="158"/>
      <c r="G41" s="162"/>
      <c r="H41" s="163"/>
      <c r="I41" s="158"/>
      <c r="J41" s="158"/>
      <c r="K41" s="162"/>
      <c r="L41" s="163"/>
      <c r="M41" s="158"/>
      <c r="N41" s="158"/>
      <c r="O41" s="162"/>
      <c r="P41" s="164"/>
      <c r="Q41" s="162"/>
      <c r="R41" s="164"/>
      <c r="S41" s="17"/>
      <c r="T41" s="17"/>
      <c r="U41" s="17"/>
      <c r="V41" s="17"/>
      <c r="W41" s="19"/>
    </row>
    <row r="42" spans="1:23" ht="14.25" customHeight="1" x14ac:dyDescent="0.2">
      <c r="A42" s="137"/>
      <c r="B42" s="138"/>
      <c r="C42" s="138"/>
      <c r="D42" s="139" t="s">
        <v>47</v>
      </c>
      <c r="E42" s="95" t="e">
        <f>AVERAGE(E32:E41)</f>
        <v>#DIV/0!</v>
      </c>
      <c r="F42" s="99" t="e">
        <f t="shared" ref="F42:R42" si="16">AVERAGE(F32:F41)</f>
        <v>#DIV/0!</v>
      </c>
      <c r="G42" s="95" t="e">
        <f t="shared" si="16"/>
        <v>#DIV/0!</v>
      </c>
      <c r="H42" s="96" t="e">
        <f t="shared" si="16"/>
        <v>#DIV/0!</v>
      </c>
      <c r="I42" s="99" t="e">
        <f t="shared" si="16"/>
        <v>#DIV/0!</v>
      </c>
      <c r="J42" s="99" t="e">
        <f t="shared" si="16"/>
        <v>#DIV/0!</v>
      </c>
      <c r="K42" s="95" t="e">
        <f t="shared" si="16"/>
        <v>#DIV/0!</v>
      </c>
      <c r="L42" s="96" t="e">
        <f t="shared" si="16"/>
        <v>#DIV/0!</v>
      </c>
      <c r="M42" s="99" t="e">
        <f t="shared" si="16"/>
        <v>#DIV/0!</v>
      </c>
      <c r="N42" s="99" t="e">
        <f t="shared" si="16"/>
        <v>#DIV/0!</v>
      </c>
      <c r="O42" s="95" t="e">
        <f t="shared" si="16"/>
        <v>#DIV/0!</v>
      </c>
      <c r="P42" s="96" t="e">
        <f t="shared" si="16"/>
        <v>#DIV/0!</v>
      </c>
      <c r="Q42" s="99" t="e">
        <f t="shared" si="16"/>
        <v>#DIV/0!</v>
      </c>
      <c r="R42" s="96" t="e">
        <f t="shared" si="16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40"/>
      <c r="B43" s="141"/>
      <c r="C43" s="141"/>
      <c r="D43" s="142" t="s">
        <v>48</v>
      </c>
      <c r="E43" s="101" t="e">
        <f>STDEV(E32:E41)/SQRT(COUNT(E32:E41))</f>
        <v>#DIV/0!</v>
      </c>
      <c r="F43" s="103" t="e">
        <f t="shared" ref="F43:R43" si="17">STDEV(F32:F41)/SQRT(COUNT(F32:F41))</f>
        <v>#DIV/0!</v>
      </c>
      <c r="G43" s="101" t="e">
        <f t="shared" si="17"/>
        <v>#DIV/0!</v>
      </c>
      <c r="H43" s="102" t="e">
        <f t="shared" si="17"/>
        <v>#DIV/0!</v>
      </c>
      <c r="I43" s="103" t="e">
        <f t="shared" si="17"/>
        <v>#DIV/0!</v>
      </c>
      <c r="J43" s="103" t="e">
        <f t="shared" si="17"/>
        <v>#DIV/0!</v>
      </c>
      <c r="K43" s="101" t="e">
        <f t="shared" si="17"/>
        <v>#DIV/0!</v>
      </c>
      <c r="L43" s="102" t="e">
        <f t="shared" si="17"/>
        <v>#DIV/0!</v>
      </c>
      <c r="M43" s="103" t="e">
        <f t="shared" si="17"/>
        <v>#DIV/0!</v>
      </c>
      <c r="N43" s="103" t="e">
        <f t="shared" si="17"/>
        <v>#DIV/0!</v>
      </c>
      <c r="O43" s="101" t="e">
        <f t="shared" si="17"/>
        <v>#DIV/0!</v>
      </c>
      <c r="P43" s="102" t="e">
        <f t="shared" si="17"/>
        <v>#DIV/0!</v>
      </c>
      <c r="Q43" s="103" t="e">
        <f t="shared" si="17"/>
        <v>#DIV/0!</v>
      </c>
      <c r="R43" s="102" t="e">
        <f t="shared" si="17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64</v>
      </c>
      <c r="B44" s="53">
        <v>1</v>
      </c>
      <c r="C44" s="143"/>
      <c r="D44" s="187"/>
      <c r="E44" s="125"/>
      <c r="F44" s="126"/>
      <c r="G44" s="125"/>
      <c r="H44" s="127"/>
      <c r="I44" s="128"/>
      <c r="J44" s="126"/>
      <c r="K44" s="125"/>
      <c r="L44" s="127"/>
      <c r="M44" s="128"/>
      <c r="N44" s="126"/>
      <c r="O44" s="125"/>
      <c r="P44" s="127"/>
      <c r="Q44" s="80"/>
      <c r="R44" s="81"/>
      <c r="S44" s="17"/>
      <c r="T44" s="17"/>
      <c r="U44" s="17"/>
      <c r="V44" s="17"/>
      <c r="W44" s="19"/>
    </row>
    <row r="45" spans="1:23" ht="14.25" customHeight="1" x14ac:dyDescent="0.2">
      <c r="A45" s="209"/>
      <c r="B45" s="54">
        <v>2</v>
      </c>
      <c r="C45" s="143"/>
      <c r="D45" s="187"/>
      <c r="E45" s="129"/>
      <c r="F45" s="126"/>
      <c r="G45" s="129"/>
      <c r="H45" s="130"/>
      <c r="I45" s="128"/>
      <c r="J45" s="126"/>
      <c r="K45" s="129"/>
      <c r="L45" s="130"/>
      <c r="M45" s="128"/>
      <c r="N45" s="126"/>
      <c r="O45" s="129"/>
      <c r="P45" s="130"/>
      <c r="Q45" s="80"/>
      <c r="R45" s="81"/>
      <c r="S45" s="17"/>
      <c r="T45" s="17"/>
      <c r="U45" s="17"/>
      <c r="V45" s="17"/>
      <c r="W45" s="19"/>
    </row>
    <row r="46" spans="1:23" ht="14.25" customHeight="1" x14ac:dyDescent="0.2">
      <c r="A46" s="209"/>
      <c r="B46" s="56">
        <v>3</v>
      </c>
      <c r="C46" s="143"/>
      <c r="D46" s="188"/>
      <c r="E46" s="128"/>
      <c r="F46" s="126"/>
      <c r="G46" s="129"/>
      <c r="H46" s="130"/>
      <c r="I46" s="128"/>
      <c r="J46" s="126"/>
      <c r="K46" s="129"/>
      <c r="L46" s="130"/>
      <c r="M46" s="128"/>
      <c r="N46" s="126"/>
      <c r="O46" s="129"/>
      <c r="P46" s="130"/>
      <c r="Q46" s="80"/>
      <c r="R46" s="81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3"/>
      <c r="D47" s="188"/>
      <c r="E47" s="128"/>
      <c r="F47" s="126"/>
      <c r="G47" s="129"/>
      <c r="H47" s="130"/>
      <c r="I47" s="128"/>
      <c r="J47" s="126"/>
      <c r="K47" s="129"/>
      <c r="L47" s="130"/>
      <c r="M47" s="128"/>
      <c r="N47" s="126"/>
      <c r="O47" s="129"/>
      <c r="P47" s="130"/>
      <c r="Q47" s="80"/>
      <c r="R47" s="81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3"/>
      <c r="D48" s="188"/>
      <c r="E48" s="128"/>
      <c r="F48" s="126"/>
      <c r="G48" s="129"/>
      <c r="H48" s="130"/>
      <c r="I48" s="128"/>
      <c r="J48" s="126"/>
      <c r="K48" s="129"/>
      <c r="L48" s="130"/>
      <c r="M48" s="128"/>
      <c r="N48" s="126"/>
      <c r="O48" s="129"/>
      <c r="P48" s="130"/>
      <c r="Q48" s="80"/>
      <c r="R48" s="81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3"/>
      <c r="D49" s="188"/>
      <c r="E49" s="128"/>
      <c r="F49" s="126"/>
      <c r="G49" s="129"/>
      <c r="H49" s="130"/>
      <c r="I49" s="128"/>
      <c r="J49" s="126"/>
      <c r="K49" s="129"/>
      <c r="L49" s="130"/>
      <c r="M49" s="128"/>
      <c r="N49" s="126"/>
      <c r="O49" s="129"/>
      <c r="P49" s="130"/>
      <c r="Q49" s="80"/>
      <c r="R49" s="81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3"/>
      <c r="D50" s="189"/>
      <c r="E50" s="128"/>
      <c r="F50" s="126"/>
      <c r="G50" s="129"/>
      <c r="H50" s="130"/>
      <c r="I50" s="128"/>
      <c r="J50" s="126"/>
      <c r="K50" s="129"/>
      <c r="L50" s="130"/>
      <c r="M50" s="128"/>
      <c r="N50" s="126"/>
      <c r="O50" s="129"/>
      <c r="P50" s="130"/>
      <c r="Q50" s="80"/>
      <c r="R50" s="81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3"/>
      <c r="D51" s="189"/>
      <c r="E51" s="128"/>
      <c r="F51" s="128"/>
      <c r="G51" s="129"/>
      <c r="H51" s="133"/>
      <c r="I51" s="128"/>
      <c r="J51" s="128"/>
      <c r="K51" s="129"/>
      <c r="L51" s="133"/>
      <c r="M51" s="128"/>
      <c r="N51" s="128"/>
      <c r="O51" s="129"/>
      <c r="P51" s="133"/>
      <c r="Q51" s="129"/>
      <c r="R51" s="130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5"/>
      <c r="D52" s="144"/>
      <c r="E52" s="128"/>
      <c r="F52" s="128"/>
      <c r="G52" s="129"/>
      <c r="H52" s="133"/>
      <c r="I52" s="128"/>
      <c r="J52" s="128"/>
      <c r="K52" s="129"/>
      <c r="L52" s="133"/>
      <c r="M52" s="128"/>
      <c r="N52" s="128"/>
      <c r="O52" s="129"/>
      <c r="P52" s="133"/>
      <c r="Q52" s="129"/>
      <c r="R52" s="130"/>
      <c r="S52" s="17"/>
      <c r="T52" s="17"/>
      <c r="U52" s="17"/>
      <c r="V52" s="17"/>
      <c r="W52" s="19"/>
    </row>
    <row r="53" spans="1:23" ht="14.25" customHeight="1" x14ac:dyDescent="0.2">
      <c r="A53" s="55"/>
      <c r="B53" s="201">
        <v>10</v>
      </c>
      <c r="C53" s="202"/>
      <c r="D53" s="203"/>
      <c r="E53" s="128"/>
      <c r="F53" s="128"/>
      <c r="G53" s="134"/>
      <c r="H53" s="136"/>
      <c r="I53" s="128"/>
      <c r="J53" s="128"/>
      <c r="K53" s="134"/>
      <c r="L53" s="136"/>
      <c r="M53" s="128"/>
      <c r="N53" s="128"/>
      <c r="O53" s="134"/>
      <c r="P53" s="136"/>
      <c r="Q53" s="134"/>
      <c r="R53" s="135"/>
      <c r="S53" s="17"/>
      <c r="T53" s="17"/>
      <c r="U53" s="17"/>
      <c r="V53" s="17"/>
      <c r="W53" s="19"/>
    </row>
    <row r="54" spans="1:23" ht="14.25" customHeight="1" x14ac:dyDescent="0.2">
      <c r="A54" s="146"/>
      <c r="B54" s="147"/>
      <c r="C54" s="147"/>
      <c r="D54" s="148" t="s">
        <v>47</v>
      </c>
      <c r="E54" s="95" t="e">
        <f>AVERAGE(E44:E53)</f>
        <v>#DIV/0!</v>
      </c>
      <c r="F54" s="99" t="e">
        <f t="shared" ref="F54:Q54" si="18">AVERAGE(F44:F53)</f>
        <v>#DIV/0!</v>
      </c>
      <c r="G54" s="95" t="e">
        <f t="shared" si="18"/>
        <v>#DIV/0!</v>
      </c>
      <c r="H54" s="96" t="e">
        <f t="shared" si="18"/>
        <v>#DIV/0!</v>
      </c>
      <c r="I54" s="99" t="e">
        <f t="shared" si="18"/>
        <v>#DIV/0!</v>
      </c>
      <c r="J54" s="99" t="e">
        <f t="shared" si="18"/>
        <v>#DIV/0!</v>
      </c>
      <c r="K54" s="95" t="e">
        <f t="shared" si="18"/>
        <v>#DIV/0!</v>
      </c>
      <c r="L54" s="96" t="e">
        <f t="shared" si="18"/>
        <v>#DIV/0!</v>
      </c>
      <c r="M54" s="99" t="e">
        <f t="shared" si="18"/>
        <v>#DIV/0!</v>
      </c>
      <c r="N54" s="99" t="e">
        <f t="shared" si="18"/>
        <v>#DIV/0!</v>
      </c>
      <c r="O54" s="95" t="e">
        <f t="shared" si="18"/>
        <v>#DIV/0!</v>
      </c>
      <c r="P54" s="96" t="e">
        <f t="shared" si="18"/>
        <v>#DIV/0!</v>
      </c>
      <c r="Q54" s="99" t="e">
        <f t="shared" si="18"/>
        <v>#DIV/0!</v>
      </c>
      <c r="R54" s="96" t="e">
        <f>AVERAGE(R44:R53)</f>
        <v>#DIV/0!</v>
      </c>
      <c r="S54" s="17"/>
      <c r="T54" s="17"/>
      <c r="U54" s="17"/>
      <c r="V54" s="17"/>
      <c r="W54" s="19"/>
    </row>
    <row r="55" spans="1:23" ht="14.25" customHeight="1" x14ac:dyDescent="0.2">
      <c r="A55" s="149"/>
      <c r="B55" s="150"/>
      <c r="C55" s="150"/>
      <c r="D55" s="151" t="s">
        <v>48</v>
      </c>
      <c r="E55" s="101" t="e">
        <f>STDEV(E44:E53)/SQRT(COUNT(E44:E53))</f>
        <v>#DIV/0!</v>
      </c>
      <c r="F55" s="103" t="e">
        <f t="shared" ref="F55:Q55" si="19">STDEV(F44:F53)/SQRT(COUNT(F44:F53))</f>
        <v>#DIV/0!</v>
      </c>
      <c r="G55" s="101" t="e">
        <f t="shared" si="19"/>
        <v>#DIV/0!</v>
      </c>
      <c r="H55" s="102" t="e">
        <f t="shared" si="19"/>
        <v>#DIV/0!</v>
      </c>
      <c r="I55" s="103" t="e">
        <f t="shared" si="19"/>
        <v>#DIV/0!</v>
      </c>
      <c r="J55" s="103" t="e">
        <f t="shared" si="19"/>
        <v>#DIV/0!</v>
      </c>
      <c r="K55" s="101" t="e">
        <f t="shared" si="19"/>
        <v>#DIV/0!</v>
      </c>
      <c r="L55" s="102" t="e">
        <f t="shared" si="19"/>
        <v>#DIV/0!</v>
      </c>
      <c r="M55" s="103" t="e">
        <f t="shared" si="19"/>
        <v>#DIV/0!</v>
      </c>
      <c r="N55" s="103" t="e">
        <f t="shared" si="19"/>
        <v>#DIV/0!</v>
      </c>
      <c r="O55" s="101" t="e">
        <f t="shared" si="19"/>
        <v>#DIV/0!</v>
      </c>
      <c r="P55" s="102" t="e">
        <f t="shared" si="19"/>
        <v>#DIV/0!</v>
      </c>
      <c r="Q55" s="103" t="e">
        <f t="shared" si="19"/>
        <v>#DIV/0!</v>
      </c>
      <c r="R55" s="102" t="e">
        <f>STDEV(R44:R53)/SQRT(COUNT(R44:R53))</f>
        <v>#DIV/0!</v>
      </c>
      <c r="S55" s="17"/>
      <c r="T55" s="17"/>
      <c r="U55" s="17"/>
      <c r="V55" s="17"/>
      <c r="W55" s="19"/>
    </row>
    <row r="56" spans="1:23" ht="14.25" customHeight="1" x14ac:dyDescent="0.2">
      <c r="A56" s="152"/>
      <c r="B56" s="152"/>
      <c r="C56" s="152" t="s">
        <v>50</v>
      </c>
      <c r="D56" s="152" t="s">
        <v>51</v>
      </c>
      <c r="E56" s="153">
        <f>TTEST(E8:E17,E20:E29,2,2)</f>
        <v>5.7938163912261073E-3</v>
      </c>
      <c r="F56" s="153">
        <f t="shared" ref="F56:R56" si="20">TTEST(F8:F17,F20:F29,2,2)</f>
        <v>4.4088112034192689E-2</v>
      </c>
      <c r="G56" s="153">
        <f t="shared" si="20"/>
        <v>0.3643813690986919</v>
      </c>
      <c r="H56" s="153">
        <f t="shared" si="20"/>
        <v>0.28092515150019148</v>
      </c>
      <c r="I56" s="153">
        <f t="shared" si="20"/>
        <v>0.98944890662506235</v>
      </c>
      <c r="J56" s="153">
        <f t="shared" si="20"/>
        <v>0.8376711048351817</v>
      </c>
      <c r="K56" s="153">
        <f t="shared" si="20"/>
        <v>0.96348485126578109</v>
      </c>
      <c r="L56" s="153">
        <f t="shared" si="20"/>
        <v>0.94183042685779217</v>
      </c>
      <c r="M56" s="153">
        <f t="shared" si="20"/>
        <v>0.38888814416990158</v>
      </c>
      <c r="N56" s="153">
        <f t="shared" si="20"/>
        <v>0.38420106945426935</v>
      </c>
      <c r="O56" s="153">
        <f t="shared" si="20"/>
        <v>0.60862572041659013</v>
      </c>
      <c r="P56" s="153">
        <f t="shared" si="20"/>
        <v>0.44769229355701712</v>
      </c>
      <c r="Q56" s="153">
        <f t="shared" si="20"/>
        <v>0.17679081838703564</v>
      </c>
      <c r="R56" s="153">
        <f t="shared" si="20"/>
        <v>0.80257811171162152</v>
      </c>
      <c r="S56" s="17"/>
      <c r="T56" s="17"/>
      <c r="U56" s="17"/>
      <c r="V56" s="17"/>
      <c r="W56" s="19"/>
    </row>
    <row r="57" spans="1:23" ht="14.25" customHeight="1" x14ac:dyDescent="0.2">
      <c r="A57" s="152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21">TTEST(F8:F17,F32:F41,2,2)</f>
        <v>#DIV/0!</v>
      </c>
      <c r="G57" s="153" t="e">
        <f t="shared" si="21"/>
        <v>#DIV/0!</v>
      </c>
      <c r="H57" s="153" t="e">
        <f t="shared" si="21"/>
        <v>#DIV/0!</v>
      </c>
      <c r="I57" s="153" t="e">
        <f t="shared" si="21"/>
        <v>#DIV/0!</v>
      </c>
      <c r="J57" s="153" t="e">
        <f t="shared" si="21"/>
        <v>#DIV/0!</v>
      </c>
      <c r="K57" s="153" t="e">
        <f t="shared" si="21"/>
        <v>#DIV/0!</v>
      </c>
      <c r="L57" s="153" t="e">
        <f t="shared" si="21"/>
        <v>#DIV/0!</v>
      </c>
      <c r="M57" s="153" t="e">
        <f t="shared" si="21"/>
        <v>#DIV/0!</v>
      </c>
      <c r="N57" s="153" t="e">
        <f t="shared" si="21"/>
        <v>#DIV/0!</v>
      </c>
      <c r="O57" s="153" t="e">
        <f t="shared" si="21"/>
        <v>#DIV/0!</v>
      </c>
      <c r="P57" s="153" t="e">
        <f t="shared" si="21"/>
        <v>#DIV/0!</v>
      </c>
      <c r="Q57" s="153" t="e">
        <f t="shared" si="21"/>
        <v>#DIV/0!</v>
      </c>
      <c r="R57" s="153" t="e">
        <f t="shared" si="21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52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22">TTEST(F8:F17,F44:F53,2,2)</f>
        <v>#DIV/0!</v>
      </c>
      <c r="G58" s="153" t="e">
        <f t="shared" si="22"/>
        <v>#DIV/0!</v>
      </c>
      <c r="H58" s="153" t="e">
        <f t="shared" si="22"/>
        <v>#DIV/0!</v>
      </c>
      <c r="I58" s="153" t="e">
        <f t="shared" si="22"/>
        <v>#DIV/0!</v>
      </c>
      <c r="J58" s="153" t="e">
        <f t="shared" si="22"/>
        <v>#DIV/0!</v>
      </c>
      <c r="K58" s="153" t="e">
        <f t="shared" si="22"/>
        <v>#DIV/0!</v>
      </c>
      <c r="L58" s="153" t="e">
        <f t="shared" si="22"/>
        <v>#DIV/0!</v>
      </c>
      <c r="M58" s="153" t="e">
        <f t="shared" si="22"/>
        <v>#DIV/0!</v>
      </c>
      <c r="N58" s="153" t="e">
        <f t="shared" si="22"/>
        <v>#DIV/0!</v>
      </c>
      <c r="O58" s="153" t="e">
        <f t="shared" si="22"/>
        <v>#DIV/0!</v>
      </c>
      <c r="P58" s="153" t="e">
        <f t="shared" si="22"/>
        <v>#DIV/0!</v>
      </c>
      <c r="Q58" s="153" t="e">
        <f t="shared" si="22"/>
        <v>#DIV/0!</v>
      </c>
      <c r="R58" s="153" t="e">
        <f t="shared" si="22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52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23">TTEST(F20:F29,F32:F41,2,2)</f>
        <v>#DIV/0!</v>
      </c>
      <c r="G59" s="153" t="e">
        <f t="shared" si="23"/>
        <v>#DIV/0!</v>
      </c>
      <c r="H59" s="153" t="e">
        <f t="shared" si="23"/>
        <v>#DIV/0!</v>
      </c>
      <c r="I59" s="153" t="e">
        <f t="shared" si="23"/>
        <v>#DIV/0!</v>
      </c>
      <c r="J59" s="153" t="e">
        <f t="shared" si="23"/>
        <v>#DIV/0!</v>
      </c>
      <c r="K59" s="153" t="e">
        <f t="shared" si="23"/>
        <v>#DIV/0!</v>
      </c>
      <c r="L59" s="153" t="e">
        <f t="shared" si="23"/>
        <v>#DIV/0!</v>
      </c>
      <c r="M59" s="153" t="e">
        <f t="shared" si="23"/>
        <v>#DIV/0!</v>
      </c>
      <c r="N59" s="153" t="e">
        <f t="shared" si="23"/>
        <v>#DIV/0!</v>
      </c>
      <c r="O59" s="153" t="e">
        <f t="shared" si="23"/>
        <v>#DIV/0!</v>
      </c>
      <c r="P59" s="153" t="e">
        <f t="shared" si="23"/>
        <v>#DIV/0!</v>
      </c>
      <c r="Q59" s="153" t="e">
        <f t="shared" si="23"/>
        <v>#DIV/0!</v>
      </c>
      <c r="R59" s="153" t="e">
        <f t="shared" si="23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52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24">TTEST(F20:F29,F44:F53,2,2)</f>
        <v>#DIV/0!</v>
      </c>
      <c r="G60" s="153" t="e">
        <f t="shared" si="24"/>
        <v>#DIV/0!</v>
      </c>
      <c r="H60" s="153" t="e">
        <f t="shared" si="24"/>
        <v>#DIV/0!</v>
      </c>
      <c r="I60" s="153" t="e">
        <f t="shared" si="24"/>
        <v>#DIV/0!</v>
      </c>
      <c r="J60" s="153" t="e">
        <f t="shared" si="24"/>
        <v>#DIV/0!</v>
      </c>
      <c r="K60" s="153" t="e">
        <f t="shared" si="24"/>
        <v>#DIV/0!</v>
      </c>
      <c r="L60" s="153" t="e">
        <f t="shared" si="24"/>
        <v>#DIV/0!</v>
      </c>
      <c r="M60" s="153" t="e">
        <f t="shared" si="24"/>
        <v>#DIV/0!</v>
      </c>
      <c r="N60" s="153" t="e">
        <f t="shared" si="24"/>
        <v>#DIV/0!</v>
      </c>
      <c r="O60" s="153" t="e">
        <f t="shared" si="24"/>
        <v>#DIV/0!</v>
      </c>
      <c r="P60" s="153" t="e">
        <f t="shared" si="24"/>
        <v>#DIV/0!</v>
      </c>
      <c r="Q60" s="153" t="e">
        <f t="shared" si="24"/>
        <v>#DIV/0!</v>
      </c>
      <c r="R60" s="153" t="e">
        <f t="shared" si="24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52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25">TTEST(F32:F41,F44:F53,2,2)</f>
        <v>#DIV/0!</v>
      </c>
      <c r="G61" s="153" t="e">
        <f t="shared" si="25"/>
        <v>#DIV/0!</v>
      </c>
      <c r="H61" s="153" t="e">
        <f t="shared" si="25"/>
        <v>#DIV/0!</v>
      </c>
      <c r="I61" s="153" t="e">
        <f t="shared" si="25"/>
        <v>#DIV/0!</v>
      </c>
      <c r="J61" s="153" t="e">
        <f t="shared" si="25"/>
        <v>#DIV/0!</v>
      </c>
      <c r="K61" s="153" t="e">
        <f t="shared" si="25"/>
        <v>#DIV/0!</v>
      </c>
      <c r="L61" s="153" t="e">
        <f t="shared" si="25"/>
        <v>#DIV/0!</v>
      </c>
      <c r="M61" s="153" t="e">
        <f t="shared" si="25"/>
        <v>#DIV/0!</v>
      </c>
      <c r="N61" s="153" t="e">
        <f t="shared" si="25"/>
        <v>#DIV/0!</v>
      </c>
      <c r="O61" s="153" t="e">
        <f t="shared" si="25"/>
        <v>#DIV/0!</v>
      </c>
      <c r="P61" s="153" t="e">
        <f t="shared" si="25"/>
        <v>#DIV/0!</v>
      </c>
      <c r="Q61" s="153" t="e">
        <f t="shared" si="25"/>
        <v>#DIV/0!</v>
      </c>
      <c r="R61" s="153" t="e">
        <f t="shared" si="25"/>
        <v>#DIV/0!</v>
      </c>
      <c r="S61" s="17"/>
      <c r="T61" s="17"/>
      <c r="U61" s="17"/>
      <c r="V61" s="17"/>
      <c r="W61" s="19"/>
    </row>
    <row r="62" spans="1:23" ht="14.25" customHeight="1" x14ac:dyDescent="0.2">
      <c r="A62" s="165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44"/>
      <c r="T62" s="44"/>
      <c r="U62" s="44"/>
      <c r="V62" s="44"/>
      <c r="W62" s="45"/>
    </row>
  </sheetData>
  <sheetProtection algorithmName="SHA-512" hashValue="007QRwvU/xPl01OVHOP1CkA3XFBA4SkqFs9LnpQ57PYl2BSet1wO9UyYDNPMDxR9h02UTibizmUeeMirxBy64A==" saltValue="QhnzRHjfLU4TwTfTGJOWpA==" spinCount="100000" sheet="1" objects="1" scenarios="1"/>
  <mergeCells count="11">
    <mergeCell ref="Q5:R5"/>
    <mergeCell ref="E5:F5"/>
    <mergeCell ref="G5:H5"/>
    <mergeCell ref="I5:J5"/>
    <mergeCell ref="K5:L5"/>
    <mergeCell ref="M5:N5"/>
    <mergeCell ref="A9:A10"/>
    <mergeCell ref="A21:A22"/>
    <mergeCell ref="A33:A34"/>
    <mergeCell ref="A45:A46"/>
    <mergeCell ref="O5:P5"/>
  </mergeCells>
  <conditionalFormatting sqref="E56:R61">
    <cfRule type="cellIs" dxfId="6" priority="1" operator="lessThan">
      <formula>0.05</formula>
    </cfRule>
    <cfRule type="cellIs" dxfId="5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2"/>
  <sheetViews>
    <sheetView zoomScaleNormal="100" workbookViewId="0">
      <selection activeCell="A5" sqref="A5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38</v>
      </c>
      <c r="R5" s="214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39</v>
      </c>
      <c r="F6" s="46" t="s">
        <v>40</v>
      </c>
      <c r="G6" s="26" t="s">
        <v>39</v>
      </c>
      <c r="H6" s="47" t="s">
        <v>40</v>
      </c>
      <c r="I6" s="48" t="s">
        <v>39</v>
      </c>
      <c r="J6" s="46" t="s">
        <v>40</v>
      </c>
      <c r="K6" s="26" t="s">
        <v>39</v>
      </c>
      <c r="L6" s="47" t="s">
        <v>40</v>
      </c>
      <c r="M6" s="26" t="s">
        <v>39</v>
      </c>
      <c r="N6" s="47" t="s">
        <v>40</v>
      </c>
      <c r="O6" s="26" t="s">
        <v>39</v>
      </c>
      <c r="P6" s="47" t="s">
        <v>40</v>
      </c>
      <c r="Q6" s="26" t="s">
        <v>39</v>
      </c>
      <c r="R6" s="47" t="s">
        <v>40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41</v>
      </c>
      <c r="C7" s="30" t="s">
        <v>42</v>
      </c>
      <c r="D7" s="31" t="s">
        <v>43</v>
      </c>
      <c r="E7" s="32" t="s">
        <v>44</v>
      </c>
      <c r="F7" s="33" t="s">
        <v>45</v>
      </c>
      <c r="G7" s="32" t="s">
        <v>44</v>
      </c>
      <c r="H7" s="32" t="s">
        <v>45</v>
      </c>
      <c r="I7" s="49" t="s">
        <v>44</v>
      </c>
      <c r="J7" s="33" t="s">
        <v>45</v>
      </c>
      <c r="K7" s="32" t="s">
        <v>44</v>
      </c>
      <c r="L7" s="32" t="s">
        <v>45</v>
      </c>
      <c r="M7" s="32" t="s">
        <v>44</v>
      </c>
      <c r="N7" s="32" t="s">
        <v>45</v>
      </c>
      <c r="O7" s="32" t="s">
        <v>44</v>
      </c>
      <c r="P7" s="32" t="s">
        <v>45</v>
      </c>
      <c r="Q7" s="32" t="s">
        <v>44</v>
      </c>
      <c r="R7" s="32" t="s">
        <v>45</v>
      </c>
      <c r="S7" s="17"/>
      <c r="T7" s="17"/>
      <c r="U7" s="17"/>
      <c r="V7" s="17"/>
      <c r="W7" s="19"/>
    </row>
    <row r="8" spans="1:23" ht="14.25" customHeight="1" x14ac:dyDescent="0.2">
      <c r="A8" s="34" t="s">
        <v>46</v>
      </c>
      <c r="B8" s="73">
        <v>1</v>
      </c>
      <c r="C8" s="74" t="s">
        <v>80</v>
      </c>
      <c r="D8" s="181">
        <v>497</v>
      </c>
      <c r="E8" s="75">
        <v>69.167000000000002</v>
      </c>
      <c r="F8" s="76">
        <v>46</v>
      </c>
      <c r="G8" s="75">
        <v>66.887200000000007</v>
      </c>
      <c r="H8" s="76">
        <v>27</v>
      </c>
      <c r="I8" s="75">
        <v>59.558</v>
      </c>
      <c r="J8" s="76">
        <v>27</v>
      </c>
      <c r="K8" s="75">
        <v>57.2742</v>
      </c>
      <c r="L8" s="76">
        <v>27</v>
      </c>
      <c r="M8" s="75">
        <v>53.4711</v>
      </c>
      <c r="N8" s="76">
        <v>21</v>
      </c>
      <c r="O8" s="167">
        <v>56.033799999999999</v>
      </c>
      <c r="P8" s="168">
        <v>33</v>
      </c>
      <c r="Q8" s="77">
        <f>AVERAGE(E8,G8,I8,K8,M8,O8)</f>
        <v>60.39855</v>
      </c>
      <c r="R8" s="76">
        <f>SUM(F8,H8,J8,L8,N8,P8)</f>
        <v>181</v>
      </c>
      <c r="S8" s="17"/>
      <c r="T8" s="17"/>
      <c r="U8" s="17"/>
      <c r="V8" s="17"/>
      <c r="W8" s="19"/>
    </row>
    <row r="9" spans="1:23" ht="14.25" customHeight="1" x14ac:dyDescent="0.2">
      <c r="A9" s="206" t="s">
        <v>87</v>
      </c>
      <c r="B9" s="79">
        <v>2</v>
      </c>
      <c r="C9" s="74" t="s">
        <v>80</v>
      </c>
      <c r="D9" s="181">
        <v>498</v>
      </c>
      <c r="E9" s="80">
        <v>85.699100000000001</v>
      </c>
      <c r="F9" s="81">
        <v>29</v>
      </c>
      <c r="G9" s="80">
        <v>70.399299999999997</v>
      </c>
      <c r="H9" s="81">
        <v>33</v>
      </c>
      <c r="I9" s="80">
        <v>69.080100000000002</v>
      </c>
      <c r="J9" s="81">
        <v>33</v>
      </c>
      <c r="K9" s="80">
        <v>67.644800000000004</v>
      </c>
      <c r="L9" s="81">
        <v>34</v>
      </c>
      <c r="M9" s="80">
        <v>61.739800000000002</v>
      </c>
      <c r="N9" s="81">
        <v>28</v>
      </c>
      <c r="O9" s="111">
        <v>45.744</v>
      </c>
      <c r="P9" s="112">
        <v>17</v>
      </c>
      <c r="Q9" s="80">
        <f t="shared" ref="Q9:Q15" si="0">AVERAGE(E9,G9,I9,K9,M9,O9)</f>
        <v>66.717849999999999</v>
      </c>
      <c r="R9" s="81">
        <f t="shared" ref="R9:R15" si="1">SUM(F9,H9,J9,L9,N9,P9)</f>
        <v>174</v>
      </c>
      <c r="S9" s="17"/>
      <c r="T9" s="17"/>
      <c r="U9" s="17"/>
      <c r="V9" s="17"/>
      <c r="W9" s="19"/>
    </row>
    <row r="10" spans="1:23" ht="14.25" customHeight="1" x14ac:dyDescent="0.2">
      <c r="A10" s="206"/>
      <c r="B10" s="79">
        <v>3</v>
      </c>
      <c r="C10" s="74" t="s">
        <v>80</v>
      </c>
      <c r="D10" s="181">
        <v>499</v>
      </c>
      <c r="E10" s="80">
        <v>72.944699999999997</v>
      </c>
      <c r="F10" s="81">
        <v>28</v>
      </c>
      <c r="G10" s="80">
        <v>71.142700000000005</v>
      </c>
      <c r="H10" s="81">
        <v>18</v>
      </c>
      <c r="I10" s="80">
        <v>70.780100000000004</v>
      </c>
      <c r="J10" s="81">
        <v>21</v>
      </c>
      <c r="K10" s="80">
        <v>48.767200000000003</v>
      </c>
      <c r="L10" s="81">
        <v>25</v>
      </c>
      <c r="M10" s="80">
        <v>63.000399999999999</v>
      </c>
      <c r="N10" s="81">
        <v>27</v>
      </c>
      <c r="O10" s="111">
        <v>36.622900000000001</v>
      </c>
      <c r="P10" s="112">
        <v>22</v>
      </c>
      <c r="Q10" s="80">
        <f t="shared" si="0"/>
        <v>60.543000000000006</v>
      </c>
      <c r="R10" s="81">
        <f t="shared" si="1"/>
        <v>141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80</v>
      </c>
      <c r="D11" s="181">
        <v>500</v>
      </c>
      <c r="E11" s="80">
        <v>81.411299999999997</v>
      </c>
      <c r="F11" s="81">
        <v>31</v>
      </c>
      <c r="G11" s="80">
        <v>54.933799999999998</v>
      </c>
      <c r="H11" s="81">
        <v>17</v>
      </c>
      <c r="I11" s="80">
        <v>65.678100000000001</v>
      </c>
      <c r="J11" s="81">
        <v>19</v>
      </c>
      <c r="K11" s="80">
        <v>62.9559</v>
      </c>
      <c r="L11" s="81">
        <v>16</v>
      </c>
      <c r="M11" s="80">
        <v>80.411299999999997</v>
      </c>
      <c r="N11" s="81">
        <v>23</v>
      </c>
      <c r="O11" s="111">
        <v>85.3446</v>
      </c>
      <c r="P11" s="112">
        <v>6</v>
      </c>
      <c r="Q11" s="80">
        <f t="shared" si="0"/>
        <v>71.789166666666674</v>
      </c>
      <c r="R11" s="81">
        <f t="shared" si="1"/>
        <v>112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 t="s">
        <v>80</v>
      </c>
      <c r="D12" s="181">
        <v>585</v>
      </c>
      <c r="E12" s="80">
        <v>77.722399999999993</v>
      </c>
      <c r="F12" s="81">
        <v>22</v>
      </c>
      <c r="G12" s="80">
        <v>76.242699999999999</v>
      </c>
      <c r="H12" s="81">
        <v>23</v>
      </c>
      <c r="I12" s="80">
        <v>60.780200000000001</v>
      </c>
      <c r="J12" s="81">
        <v>19</v>
      </c>
      <c r="K12" s="80">
        <v>65.378100000000003</v>
      </c>
      <c r="L12" s="81">
        <v>17</v>
      </c>
      <c r="M12" s="80">
        <v>74.166899999999998</v>
      </c>
      <c r="N12" s="81">
        <v>19</v>
      </c>
      <c r="O12" s="111">
        <v>52.511600000000001</v>
      </c>
      <c r="P12" s="112">
        <v>13</v>
      </c>
      <c r="Q12" s="80">
        <f t="shared" si="0"/>
        <v>67.80031666666666</v>
      </c>
      <c r="R12" s="81">
        <f t="shared" si="1"/>
        <v>113</v>
      </c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 t="s">
        <v>80</v>
      </c>
      <c r="D13" s="181">
        <v>586</v>
      </c>
      <c r="E13" s="80">
        <v>77.855800000000002</v>
      </c>
      <c r="F13" s="81">
        <v>43</v>
      </c>
      <c r="G13" s="80">
        <v>78.889099999999999</v>
      </c>
      <c r="H13" s="81">
        <v>35</v>
      </c>
      <c r="I13" s="80">
        <v>74.166899999999998</v>
      </c>
      <c r="J13" s="81">
        <v>33</v>
      </c>
      <c r="K13" s="80">
        <v>73.396299999999997</v>
      </c>
      <c r="L13" s="81">
        <v>28</v>
      </c>
      <c r="M13" s="80">
        <v>74.937600000000003</v>
      </c>
      <c r="N13" s="81">
        <v>26</v>
      </c>
      <c r="O13" s="111">
        <v>64.794399999999996</v>
      </c>
      <c r="P13" s="112">
        <v>18</v>
      </c>
      <c r="Q13" s="80">
        <f t="shared" si="0"/>
        <v>74.006683333333328</v>
      </c>
      <c r="R13" s="81">
        <f t="shared" si="1"/>
        <v>183</v>
      </c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 t="s">
        <v>80</v>
      </c>
      <c r="D14" s="191">
        <v>587</v>
      </c>
      <c r="E14" s="80">
        <v>59.110500000000002</v>
      </c>
      <c r="F14" s="81">
        <v>25</v>
      </c>
      <c r="G14" s="80">
        <v>64.0458</v>
      </c>
      <c r="H14" s="81">
        <v>14</v>
      </c>
      <c r="I14" s="80">
        <v>62.244799999999998</v>
      </c>
      <c r="J14" s="81">
        <v>11</v>
      </c>
      <c r="K14" s="80">
        <v>77.622399999999999</v>
      </c>
      <c r="L14" s="81">
        <v>14</v>
      </c>
      <c r="M14" s="80">
        <v>59.533700000000003</v>
      </c>
      <c r="N14" s="81">
        <v>15</v>
      </c>
      <c r="O14" s="111">
        <v>47.778300000000002</v>
      </c>
      <c r="P14" s="110">
        <v>20</v>
      </c>
      <c r="Q14" s="80">
        <f t="shared" si="0"/>
        <v>61.72258333333334</v>
      </c>
      <c r="R14" s="81">
        <f t="shared" si="1"/>
        <v>99</v>
      </c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 t="s">
        <v>80</v>
      </c>
      <c r="D15" s="191">
        <v>588</v>
      </c>
      <c r="E15" s="80">
        <v>83.299199999999999</v>
      </c>
      <c r="F15" s="81">
        <v>22</v>
      </c>
      <c r="G15" s="80">
        <v>69.790199999999999</v>
      </c>
      <c r="H15" s="81">
        <v>15</v>
      </c>
      <c r="I15" s="80">
        <v>69.766999999999996</v>
      </c>
      <c r="J15" s="81">
        <v>23</v>
      </c>
      <c r="K15" s="80">
        <v>81.385099999999994</v>
      </c>
      <c r="L15" s="81">
        <v>21</v>
      </c>
      <c r="M15" s="80">
        <v>69.2376</v>
      </c>
      <c r="N15" s="81">
        <v>25</v>
      </c>
      <c r="O15" s="111">
        <v>66.883200000000002</v>
      </c>
      <c r="P15" s="110">
        <v>28</v>
      </c>
      <c r="Q15" s="80">
        <f t="shared" si="0"/>
        <v>73.393716666666663</v>
      </c>
      <c r="R15" s="81">
        <f t="shared" si="1"/>
        <v>134</v>
      </c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1"/>
      <c r="G16" s="80"/>
      <c r="H16" s="81"/>
      <c r="I16" s="80"/>
      <c r="J16" s="81"/>
      <c r="K16" s="80"/>
      <c r="L16" s="81"/>
      <c r="M16" s="80"/>
      <c r="N16" s="81"/>
      <c r="O16" s="111"/>
      <c r="P16" s="110"/>
      <c r="Q16" s="80"/>
      <c r="R16" s="88"/>
      <c r="S16" s="17"/>
      <c r="T16" s="17"/>
      <c r="U16" s="17"/>
      <c r="V16" s="17"/>
      <c r="W16" s="19"/>
    </row>
    <row r="17" spans="1:23" ht="14.25" customHeight="1" x14ac:dyDescent="0.2">
      <c r="A17" s="35"/>
      <c r="B17" s="192">
        <v>10</v>
      </c>
      <c r="C17" s="193"/>
      <c r="D17" s="194"/>
      <c r="E17" s="80"/>
      <c r="F17" s="81"/>
      <c r="G17" s="80"/>
      <c r="H17" s="81"/>
      <c r="I17" s="80"/>
      <c r="J17" s="81"/>
      <c r="K17" s="80"/>
      <c r="L17" s="81"/>
      <c r="M17" s="80"/>
      <c r="N17" s="81"/>
      <c r="O17" s="80"/>
      <c r="P17" s="81"/>
      <c r="Q17" s="87"/>
      <c r="R17" s="88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47</v>
      </c>
      <c r="E18" s="95">
        <f>AVERAGE(E8:E17)</f>
        <v>75.901250000000005</v>
      </c>
      <c r="F18" s="96">
        <f t="shared" ref="F18:R18" si="2">AVERAGE(F8:F17)</f>
        <v>30.75</v>
      </c>
      <c r="G18" s="95">
        <f t="shared" si="2"/>
        <v>69.041349999999994</v>
      </c>
      <c r="H18" s="96">
        <f t="shared" si="2"/>
        <v>22.75</v>
      </c>
      <c r="I18" s="99">
        <f t="shared" si="2"/>
        <v>66.506900000000002</v>
      </c>
      <c r="J18" s="99">
        <f t="shared" si="2"/>
        <v>23.25</v>
      </c>
      <c r="K18" s="95">
        <f t="shared" si="2"/>
        <v>66.802999999999997</v>
      </c>
      <c r="L18" s="96">
        <f t="shared" si="2"/>
        <v>22.75</v>
      </c>
      <c r="M18" s="99">
        <f t="shared" si="2"/>
        <v>67.062299999999993</v>
      </c>
      <c r="N18" s="99">
        <f t="shared" si="2"/>
        <v>23</v>
      </c>
      <c r="O18" s="95">
        <f t="shared" si="2"/>
        <v>56.964099999999995</v>
      </c>
      <c r="P18" s="96">
        <f t="shared" si="2"/>
        <v>19.625</v>
      </c>
      <c r="Q18" s="99">
        <f t="shared" si="2"/>
        <v>67.046483333333342</v>
      </c>
      <c r="R18" s="96">
        <f t="shared" si="2"/>
        <v>142.125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48</v>
      </c>
      <c r="E19" s="101">
        <f>STDEV(E8:E17)/SQRT(COUNT(E8:E17))</f>
        <v>3.0596615982933919</v>
      </c>
      <c r="F19" s="102">
        <f t="shared" ref="F19:R19" si="3">STDEV(F8:F17)/SQRT(COUNT(F8:F17))</f>
        <v>3.2168640452643134</v>
      </c>
      <c r="G19" s="101">
        <f t="shared" si="3"/>
        <v>2.6195588071140095</v>
      </c>
      <c r="H19" s="102">
        <f t="shared" si="3"/>
        <v>2.8831406486676987</v>
      </c>
      <c r="I19" s="103">
        <f t="shared" si="3"/>
        <v>1.8618354923876292</v>
      </c>
      <c r="J19" s="103">
        <f t="shared" si="3"/>
        <v>2.6575364531836621</v>
      </c>
      <c r="K19" s="101">
        <f t="shared" si="3"/>
        <v>3.7956646284186588</v>
      </c>
      <c r="L19" s="102">
        <f t="shared" si="3"/>
        <v>2.4476665272400626</v>
      </c>
      <c r="M19" s="103">
        <f t="shared" si="3"/>
        <v>3.2228314846686668</v>
      </c>
      <c r="N19" s="103">
        <f t="shared" si="3"/>
        <v>1.5698043554168508</v>
      </c>
      <c r="O19" s="101">
        <f t="shared" si="3"/>
        <v>5.361701356745697</v>
      </c>
      <c r="P19" s="102">
        <f t="shared" si="3"/>
        <v>2.9697131896146853</v>
      </c>
      <c r="Q19" s="103">
        <f t="shared" si="3"/>
        <v>2.0121740599929043</v>
      </c>
      <c r="R19" s="102">
        <f t="shared" si="3"/>
        <v>11.862963825043289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49</v>
      </c>
      <c r="B20" s="37">
        <v>1</v>
      </c>
      <c r="C20" s="104" t="s">
        <v>80</v>
      </c>
      <c r="D20" s="182">
        <v>473</v>
      </c>
      <c r="E20" s="82">
        <v>91.422300000000007</v>
      </c>
      <c r="F20" s="81">
        <v>13</v>
      </c>
      <c r="G20" s="82">
        <v>80.8446</v>
      </c>
      <c r="H20" s="81">
        <v>23</v>
      </c>
      <c r="I20" s="82">
        <v>62.2226</v>
      </c>
      <c r="J20" s="81">
        <v>23</v>
      </c>
      <c r="K20" s="82">
        <v>60.000399999999999</v>
      </c>
      <c r="L20" s="81">
        <v>33</v>
      </c>
      <c r="M20" s="82">
        <v>66.266999999999996</v>
      </c>
      <c r="N20" s="81">
        <v>26</v>
      </c>
      <c r="O20" s="109">
        <v>54.05</v>
      </c>
      <c r="P20" s="110">
        <v>25</v>
      </c>
      <c r="Q20" s="80">
        <f t="shared" ref="Q20" si="4">AVERAGE(E20,G20,I20,K20,M20,O20)</f>
        <v>69.134483333333336</v>
      </c>
      <c r="R20" s="81">
        <f t="shared" ref="R20" si="5">SUM(F20,H20,J20,L20,N20,P20)</f>
        <v>143</v>
      </c>
      <c r="S20" s="17"/>
      <c r="T20" s="17"/>
      <c r="U20" s="17"/>
      <c r="V20" s="17"/>
      <c r="W20" s="19"/>
    </row>
    <row r="21" spans="1:23" ht="14.25" customHeight="1" x14ac:dyDescent="0.2">
      <c r="A21" s="207" t="s">
        <v>88</v>
      </c>
      <c r="B21" s="39">
        <v>2</v>
      </c>
      <c r="C21" s="107" t="s">
        <v>80</v>
      </c>
      <c r="D21" s="183">
        <v>474</v>
      </c>
      <c r="E21" s="82">
        <v>79.677999999999997</v>
      </c>
      <c r="F21" s="81">
        <v>40</v>
      </c>
      <c r="G21" s="82">
        <v>59.698399999999999</v>
      </c>
      <c r="H21" s="81">
        <v>39</v>
      </c>
      <c r="I21" s="82">
        <v>53.366100000000003</v>
      </c>
      <c r="J21" s="81">
        <v>28</v>
      </c>
      <c r="K21" s="82">
        <v>40.003599999999999</v>
      </c>
      <c r="L21" s="81">
        <v>20</v>
      </c>
      <c r="M21" s="82">
        <v>61.667099999999998</v>
      </c>
      <c r="N21" s="81">
        <v>21</v>
      </c>
      <c r="O21" s="109">
        <v>42.033900000000003</v>
      </c>
      <c r="P21" s="110">
        <v>20</v>
      </c>
      <c r="Q21" s="80">
        <f t="shared" ref="Q21:Q22" si="6">AVERAGE(E21,G21,I21,K21,M21,O21)</f>
        <v>56.074516666666675</v>
      </c>
      <c r="R21" s="81">
        <f t="shared" ref="R21:R22" si="7">SUM(F21,H21,J21,L21,N21,P21)</f>
        <v>168</v>
      </c>
      <c r="S21" s="17"/>
      <c r="T21" s="17"/>
      <c r="U21" s="17"/>
      <c r="V21" s="17"/>
      <c r="W21" s="19"/>
    </row>
    <row r="22" spans="1:23" ht="14.25" customHeight="1" x14ac:dyDescent="0.2">
      <c r="A22" s="207"/>
      <c r="B22" s="39">
        <v>3</v>
      </c>
      <c r="C22" s="107" t="s">
        <v>80</v>
      </c>
      <c r="D22" s="183">
        <v>475</v>
      </c>
      <c r="E22" s="82">
        <v>83.054699999999997</v>
      </c>
      <c r="F22" s="81">
        <v>45</v>
      </c>
      <c r="G22" s="82">
        <v>64.401399999999995</v>
      </c>
      <c r="H22" s="81">
        <v>42</v>
      </c>
      <c r="I22" s="82">
        <v>68.522499999999994</v>
      </c>
      <c r="J22" s="81">
        <v>43</v>
      </c>
      <c r="K22" s="82">
        <v>72.289199999999994</v>
      </c>
      <c r="L22" s="81">
        <v>39</v>
      </c>
      <c r="M22" s="82">
        <v>71.922499999999999</v>
      </c>
      <c r="N22" s="81">
        <v>37</v>
      </c>
      <c r="O22" s="109">
        <v>50.9116</v>
      </c>
      <c r="P22" s="110">
        <v>39</v>
      </c>
      <c r="Q22" s="80">
        <f t="shared" si="6"/>
        <v>68.516983333333329</v>
      </c>
      <c r="R22" s="81">
        <f t="shared" si="7"/>
        <v>245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7" t="s">
        <v>80</v>
      </c>
      <c r="D23" s="183">
        <v>496</v>
      </c>
      <c r="E23" s="109">
        <v>85.765799999999999</v>
      </c>
      <c r="F23" s="110">
        <v>32</v>
      </c>
      <c r="G23" s="109">
        <v>80.367900000000006</v>
      </c>
      <c r="H23" s="110">
        <v>25</v>
      </c>
      <c r="I23" s="109">
        <v>64.508499999999998</v>
      </c>
      <c r="J23" s="110">
        <v>22</v>
      </c>
      <c r="K23" s="109">
        <v>72.481099999999998</v>
      </c>
      <c r="L23" s="110">
        <v>17</v>
      </c>
      <c r="M23" s="109">
        <v>82.539599999999993</v>
      </c>
      <c r="N23" s="110">
        <v>23</v>
      </c>
      <c r="O23" s="109">
        <v>82.921400000000006</v>
      </c>
      <c r="P23" s="110">
        <v>18</v>
      </c>
      <c r="Q23" s="80">
        <f t="shared" ref="Q23" si="8">AVERAGE(E23,G23,I23,K23,M23,O23)</f>
        <v>78.097383333333326</v>
      </c>
      <c r="R23" s="81">
        <f t="shared" ref="R23" si="9">SUM(F23,H23,J23,L23,N23,P23)</f>
        <v>137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7" t="s">
        <v>80</v>
      </c>
      <c r="D24" s="183">
        <v>581</v>
      </c>
      <c r="E24" s="109">
        <v>94.255600000000001</v>
      </c>
      <c r="F24" s="110">
        <v>19</v>
      </c>
      <c r="G24" s="109">
        <v>87.289000000000001</v>
      </c>
      <c r="H24" s="110">
        <v>29</v>
      </c>
      <c r="I24" s="109">
        <v>73.344700000000003</v>
      </c>
      <c r="J24" s="110">
        <v>39</v>
      </c>
      <c r="K24" s="109">
        <v>75.889099999999999</v>
      </c>
      <c r="L24" s="110">
        <v>29</v>
      </c>
      <c r="M24" s="109">
        <v>73.044700000000006</v>
      </c>
      <c r="N24" s="110">
        <v>33</v>
      </c>
      <c r="O24" s="109">
        <v>62.5944</v>
      </c>
      <c r="P24" s="110">
        <v>25</v>
      </c>
      <c r="Q24" s="80">
        <f t="shared" ref="Q24:Q27" si="10">AVERAGE(E24,G24,I24,K24,M24,O24)</f>
        <v>77.736249999999998</v>
      </c>
      <c r="R24" s="81">
        <f t="shared" ref="R24:R27" si="11">SUM(F24,H24,J24,L24,N24,P24)</f>
        <v>174</v>
      </c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7" t="s">
        <v>80</v>
      </c>
      <c r="D25" s="183">
        <v>582</v>
      </c>
      <c r="E25" s="109">
        <v>85.277900000000002</v>
      </c>
      <c r="F25" s="110">
        <v>25</v>
      </c>
      <c r="G25" s="109">
        <v>74.755799999999994</v>
      </c>
      <c r="H25" s="110">
        <v>37</v>
      </c>
      <c r="I25" s="109">
        <v>78.811300000000003</v>
      </c>
      <c r="J25" s="110">
        <v>22</v>
      </c>
      <c r="K25" s="109">
        <v>74.855800000000002</v>
      </c>
      <c r="L25" s="110">
        <v>37</v>
      </c>
      <c r="M25" s="109">
        <v>86.3001</v>
      </c>
      <c r="N25" s="110">
        <v>21</v>
      </c>
      <c r="O25" s="109">
        <v>60.700400000000002</v>
      </c>
      <c r="P25" s="110">
        <v>30</v>
      </c>
      <c r="Q25" s="80">
        <f t="shared" si="10"/>
        <v>76.783550000000005</v>
      </c>
      <c r="R25" s="81">
        <f t="shared" si="11"/>
        <v>172</v>
      </c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7" t="s">
        <v>80</v>
      </c>
      <c r="D26" s="190">
        <v>583</v>
      </c>
      <c r="E26" s="111">
        <v>87.733500000000006</v>
      </c>
      <c r="F26" s="110">
        <v>21</v>
      </c>
      <c r="G26" s="111">
        <v>82.322400000000002</v>
      </c>
      <c r="H26" s="110">
        <v>27</v>
      </c>
      <c r="I26" s="111">
        <v>68.978099999999998</v>
      </c>
      <c r="J26" s="110">
        <v>41</v>
      </c>
      <c r="K26" s="111">
        <v>84.507300000000001</v>
      </c>
      <c r="L26" s="110">
        <v>12</v>
      </c>
      <c r="M26" s="111">
        <v>63.915500000000002</v>
      </c>
      <c r="N26" s="110">
        <v>11</v>
      </c>
      <c r="O26" s="111">
        <v>82.133499999999998</v>
      </c>
      <c r="P26" s="110">
        <v>20</v>
      </c>
      <c r="Q26" s="80">
        <f t="shared" si="10"/>
        <v>78.265049999999988</v>
      </c>
      <c r="R26" s="81">
        <f t="shared" si="11"/>
        <v>132</v>
      </c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7" t="s">
        <v>80</v>
      </c>
      <c r="D27" s="190">
        <v>584</v>
      </c>
      <c r="E27" s="111">
        <v>85.789000000000001</v>
      </c>
      <c r="F27" s="110">
        <v>26</v>
      </c>
      <c r="G27" s="111">
        <v>59.944800000000001</v>
      </c>
      <c r="H27" s="110">
        <v>31</v>
      </c>
      <c r="I27" s="111">
        <v>74.155799999999999</v>
      </c>
      <c r="J27" s="110">
        <v>19</v>
      </c>
      <c r="K27" s="111">
        <v>59.107500000000002</v>
      </c>
      <c r="L27" s="110">
        <v>17</v>
      </c>
      <c r="M27" s="111">
        <v>63.8155</v>
      </c>
      <c r="N27" s="110">
        <v>28</v>
      </c>
      <c r="O27" s="111">
        <v>64.766999999999996</v>
      </c>
      <c r="P27" s="110">
        <v>27</v>
      </c>
      <c r="Q27" s="80">
        <f t="shared" si="10"/>
        <v>67.929933333333324</v>
      </c>
      <c r="R27" s="81">
        <f t="shared" si="11"/>
        <v>148</v>
      </c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4"/>
      <c r="D28" s="113"/>
      <c r="E28" s="111"/>
      <c r="F28" s="110"/>
      <c r="G28" s="111"/>
      <c r="H28" s="110"/>
      <c r="I28" s="111"/>
      <c r="J28" s="110"/>
      <c r="K28" s="111"/>
      <c r="L28" s="110"/>
      <c r="M28" s="111"/>
      <c r="N28" s="110"/>
      <c r="O28" s="111"/>
      <c r="P28" s="110"/>
      <c r="Q28" s="87"/>
      <c r="R28" s="88"/>
      <c r="S28" s="17"/>
      <c r="T28" s="17"/>
      <c r="U28" s="17"/>
      <c r="V28" s="17"/>
      <c r="W28" s="19"/>
    </row>
    <row r="29" spans="1:23" ht="14.25" customHeight="1" x14ac:dyDescent="0.2">
      <c r="A29" s="38"/>
      <c r="B29" s="195">
        <v>10</v>
      </c>
      <c r="C29" s="196"/>
      <c r="D29" s="197"/>
      <c r="E29" s="116"/>
      <c r="F29" s="169"/>
      <c r="G29" s="116"/>
      <c r="H29" s="169"/>
      <c r="I29" s="116"/>
      <c r="J29" s="169"/>
      <c r="K29" s="116"/>
      <c r="L29" s="169"/>
      <c r="M29" s="116"/>
      <c r="N29" s="169"/>
      <c r="O29" s="116"/>
      <c r="P29" s="169"/>
      <c r="Q29" s="87"/>
      <c r="R29" s="88"/>
      <c r="S29" s="17"/>
      <c r="T29" s="17"/>
      <c r="U29" s="17"/>
      <c r="V29" s="17"/>
      <c r="W29" s="19"/>
    </row>
    <row r="30" spans="1:23" ht="14.25" customHeight="1" x14ac:dyDescent="0.2">
      <c r="A30" s="118"/>
      <c r="B30" s="119"/>
      <c r="C30" s="119"/>
      <c r="D30" s="120" t="s">
        <v>47</v>
      </c>
      <c r="E30" s="95">
        <f>AVERAGE(E20:E29)</f>
        <v>86.622100000000003</v>
      </c>
      <c r="F30" s="99">
        <f t="shared" ref="F30:R30" si="12">AVERAGE(F20:F29)</f>
        <v>27.625</v>
      </c>
      <c r="G30" s="95">
        <f t="shared" si="12"/>
        <v>73.703037499999994</v>
      </c>
      <c r="H30" s="96">
        <f t="shared" si="12"/>
        <v>31.625</v>
      </c>
      <c r="I30" s="99">
        <f t="shared" si="12"/>
        <v>67.988699999999994</v>
      </c>
      <c r="J30" s="99">
        <f t="shared" si="12"/>
        <v>29.625</v>
      </c>
      <c r="K30" s="95">
        <f t="shared" si="12"/>
        <v>67.391749999999988</v>
      </c>
      <c r="L30" s="96">
        <f t="shared" si="12"/>
        <v>25.5</v>
      </c>
      <c r="M30" s="99">
        <f t="shared" si="12"/>
        <v>71.184000000000012</v>
      </c>
      <c r="N30" s="99">
        <f t="shared" si="12"/>
        <v>25</v>
      </c>
      <c r="O30" s="95">
        <f t="shared" si="12"/>
        <v>62.514024999999997</v>
      </c>
      <c r="P30" s="96">
        <f t="shared" si="12"/>
        <v>25.5</v>
      </c>
      <c r="Q30" s="99">
        <f t="shared" si="12"/>
        <v>71.567268749999982</v>
      </c>
      <c r="R30" s="96">
        <f t="shared" si="12"/>
        <v>164.875</v>
      </c>
      <c r="S30" s="17"/>
      <c r="T30" s="17"/>
      <c r="U30" s="17"/>
      <c r="V30" s="17"/>
      <c r="W30" s="19"/>
    </row>
    <row r="31" spans="1:23" ht="14.25" customHeight="1" x14ac:dyDescent="0.2">
      <c r="A31" s="121"/>
      <c r="B31" s="122"/>
      <c r="C31" s="122"/>
      <c r="D31" s="123" t="s">
        <v>48</v>
      </c>
      <c r="E31" s="101">
        <f>STDEV(E20:E29)/SQRT(COUNT(E20:E29))</f>
        <v>1.6186882848687794</v>
      </c>
      <c r="F31" s="103">
        <f t="shared" ref="F31:R31" si="13">STDEV(F20:F29)/SQRT(COUNT(F20:F29))</f>
        <v>3.8169616750199924</v>
      </c>
      <c r="G31" s="101">
        <f t="shared" si="13"/>
        <v>3.8436911057480216</v>
      </c>
      <c r="H31" s="102">
        <f t="shared" si="13"/>
        <v>2.4563147483287118</v>
      </c>
      <c r="I31" s="103">
        <f t="shared" si="13"/>
        <v>2.8166992967326863</v>
      </c>
      <c r="J31" s="103">
        <f t="shared" si="13"/>
        <v>3.4637794180840751</v>
      </c>
      <c r="K31" s="101">
        <f t="shared" si="13"/>
        <v>4.8991930174774891</v>
      </c>
      <c r="L31" s="102">
        <f t="shared" si="13"/>
        <v>3.6351458999998489</v>
      </c>
      <c r="M31" s="103">
        <f t="shared" si="13"/>
        <v>3.2274710257081054</v>
      </c>
      <c r="N31" s="103">
        <f t="shared" si="13"/>
        <v>2.8347335475692037</v>
      </c>
      <c r="O31" s="101">
        <f t="shared" si="13"/>
        <v>5.0629040418924394</v>
      </c>
      <c r="P31" s="102">
        <f t="shared" si="13"/>
        <v>2.3979157616563596</v>
      </c>
      <c r="Q31" s="103">
        <f t="shared" si="13"/>
        <v>2.7426748282012396</v>
      </c>
      <c r="R31" s="102">
        <f t="shared" si="13"/>
        <v>12.806858514093141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58</v>
      </c>
      <c r="B32" s="40">
        <v>1</v>
      </c>
      <c r="C32" s="124" t="s">
        <v>80</v>
      </c>
      <c r="D32" s="184"/>
      <c r="E32" s="125"/>
      <c r="F32" s="126"/>
      <c r="G32" s="125"/>
      <c r="H32" s="127"/>
      <c r="I32" s="170"/>
      <c r="J32" s="126"/>
      <c r="K32" s="125"/>
      <c r="L32" s="127"/>
      <c r="M32" s="170"/>
      <c r="N32" s="126"/>
      <c r="O32" s="125"/>
      <c r="P32" s="127"/>
      <c r="Q32" s="80"/>
      <c r="R32" s="81"/>
      <c r="S32" s="17"/>
      <c r="T32" s="17"/>
      <c r="U32" s="17"/>
      <c r="V32" s="17"/>
      <c r="W32" s="19"/>
    </row>
    <row r="33" spans="1:23" ht="14.25" customHeight="1" x14ac:dyDescent="0.2">
      <c r="A33" s="208"/>
      <c r="B33" s="41">
        <v>2</v>
      </c>
      <c r="C33" s="124" t="s">
        <v>80</v>
      </c>
      <c r="D33" s="185"/>
      <c r="E33" s="129"/>
      <c r="F33" s="126"/>
      <c r="G33" s="129"/>
      <c r="H33" s="130"/>
      <c r="I33" s="128"/>
      <c r="J33" s="126"/>
      <c r="K33" s="129"/>
      <c r="L33" s="130"/>
      <c r="M33" s="128"/>
      <c r="N33" s="126"/>
      <c r="O33" s="129"/>
      <c r="P33" s="130"/>
      <c r="Q33" s="80"/>
      <c r="R33" s="81"/>
      <c r="S33" s="17"/>
      <c r="T33" s="17"/>
      <c r="U33" s="17"/>
      <c r="V33" s="17"/>
      <c r="W33" s="19"/>
    </row>
    <row r="34" spans="1:23" ht="14.25" customHeight="1" x14ac:dyDescent="0.2">
      <c r="A34" s="208"/>
      <c r="B34" s="43">
        <v>3</v>
      </c>
      <c r="C34" s="124" t="s">
        <v>80</v>
      </c>
      <c r="D34" s="185"/>
      <c r="E34" s="128"/>
      <c r="F34" s="126"/>
      <c r="G34" s="129"/>
      <c r="H34" s="130"/>
      <c r="I34" s="128"/>
      <c r="J34" s="126"/>
      <c r="K34" s="129"/>
      <c r="L34" s="130"/>
      <c r="M34" s="128"/>
      <c r="N34" s="126"/>
      <c r="O34" s="129"/>
      <c r="P34" s="130"/>
      <c r="Q34" s="80"/>
      <c r="R34" s="81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4" t="s">
        <v>80</v>
      </c>
      <c r="D35" s="185"/>
      <c r="E35" s="128"/>
      <c r="F35" s="126"/>
      <c r="G35" s="129"/>
      <c r="H35" s="130"/>
      <c r="I35" s="128"/>
      <c r="J35" s="126"/>
      <c r="K35" s="129"/>
      <c r="L35" s="130"/>
      <c r="M35" s="128"/>
      <c r="N35" s="126"/>
      <c r="O35" s="129"/>
      <c r="P35" s="130"/>
      <c r="Q35" s="80"/>
      <c r="R35" s="81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4" t="s">
        <v>80</v>
      </c>
      <c r="D36" s="185"/>
      <c r="E36" s="128"/>
      <c r="F36" s="126"/>
      <c r="G36" s="129"/>
      <c r="H36" s="130"/>
      <c r="I36" s="128"/>
      <c r="J36" s="126"/>
      <c r="K36" s="129"/>
      <c r="L36" s="130"/>
      <c r="M36" s="128"/>
      <c r="N36" s="126"/>
      <c r="O36" s="129"/>
      <c r="P36" s="130"/>
      <c r="Q36" s="80"/>
      <c r="R36" s="81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4" t="s">
        <v>80</v>
      </c>
      <c r="D37" s="185"/>
      <c r="E37" s="128"/>
      <c r="F37" s="126"/>
      <c r="G37" s="129"/>
      <c r="H37" s="130"/>
      <c r="I37" s="128"/>
      <c r="J37" s="126"/>
      <c r="K37" s="129"/>
      <c r="L37" s="130"/>
      <c r="M37" s="128"/>
      <c r="N37" s="126"/>
      <c r="O37" s="129"/>
      <c r="P37" s="130"/>
      <c r="Q37" s="80"/>
      <c r="R37" s="81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4" t="s">
        <v>80</v>
      </c>
      <c r="D38" s="186"/>
      <c r="E38" s="128"/>
      <c r="F38" s="126"/>
      <c r="G38" s="129"/>
      <c r="H38" s="130"/>
      <c r="I38" s="128"/>
      <c r="J38" s="126"/>
      <c r="K38" s="129"/>
      <c r="L38" s="130"/>
      <c r="M38" s="128"/>
      <c r="N38" s="126"/>
      <c r="O38" s="129"/>
      <c r="P38" s="130"/>
      <c r="Q38" s="80"/>
      <c r="R38" s="81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4" t="s">
        <v>80</v>
      </c>
      <c r="D39" s="186"/>
      <c r="E39" s="128"/>
      <c r="F39" s="126"/>
      <c r="G39" s="129"/>
      <c r="H39" s="130"/>
      <c r="I39" s="128"/>
      <c r="J39" s="126"/>
      <c r="K39" s="129"/>
      <c r="L39" s="130"/>
      <c r="M39" s="128"/>
      <c r="N39" s="126"/>
      <c r="O39" s="129"/>
      <c r="P39" s="130"/>
      <c r="Q39" s="80"/>
      <c r="R39" s="81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2"/>
      <c r="D40" s="131"/>
      <c r="E40" s="128"/>
      <c r="F40" s="126"/>
      <c r="G40" s="129"/>
      <c r="H40" s="130"/>
      <c r="I40" s="128"/>
      <c r="J40" s="126"/>
      <c r="K40" s="129"/>
      <c r="L40" s="130"/>
      <c r="M40" s="128"/>
      <c r="N40" s="126"/>
      <c r="O40" s="129"/>
      <c r="P40" s="130"/>
      <c r="Q40" s="129"/>
      <c r="R40" s="130"/>
      <c r="S40" s="17"/>
      <c r="T40" s="17"/>
      <c r="U40" s="17"/>
      <c r="V40" s="17"/>
      <c r="W40" s="19"/>
    </row>
    <row r="41" spans="1:23" ht="14.25" customHeight="1" x14ac:dyDescent="0.2">
      <c r="A41" s="42"/>
      <c r="B41" s="198">
        <v>10</v>
      </c>
      <c r="C41" s="199"/>
      <c r="D41" s="200"/>
      <c r="E41" s="128"/>
      <c r="F41" s="126"/>
      <c r="G41" s="134"/>
      <c r="H41" s="135"/>
      <c r="I41" s="128"/>
      <c r="J41" s="126"/>
      <c r="K41" s="134"/>
      <c r="L41" s="135"/>
      <c r="M41" s="128"/>
      <c r="N41" s="126"/>
      <c r="O41" s="134"/>
      <c r="P41" s="135"/>
      <c r="Q41" s="134"/>
      <c r="R41" s="135"/>
      <c r="S41" s="17"/>
      <c r="T41" s="17"/>
      <c r="U41" s="17"/>
      <c r="V41" s="17"/>
      <c r="W41" s="19"/>
    </row>
    <row r="42" spans="1:23" ht="14.25" customHeight="1" x14ac:dyDescent="0.2">
      <c r="A42" s="137"/>
      <c r="B42" s="138"/>
      <c r="C42" s="138"/>
      <c r="D42" s="139" t="s">
        <v>47</v>
      </c>
      <c r="E42" s="95" t="e">
        <f>AVERAGE(E32:E41)</f>
        <v>#DIV/0!</v>
      </c>
      <c r="F42" s="99" t="e">
        <f t="shared" ref="F42:R42" si="14">AVERAGE(F32:F41)</f>
        <v>#DIV/0!</v>
      </c>
      <c r="G42" s="95" t="e">
        <f t="shared" si="14"/>
        <v>#DIV/0!</v>
      </c>
      <c r="H42" s="96" t="e">
        <f t="shared" si="14"/>
        <v>#DIV/0!</v>
      </c>
      <c r="I42" s="99" t="e">
        <f t="shared" si="14"/>
        <v>#DIV/0!</v>
      </c>
      <c r="J42" s="99" t="e">
        <f t="shared" si="14"/>
        <v>#DIV/0!</v>
      </c>
      <c r="K42" s="95" t="e">
        <f t="shared" si="14"/>
        <v>#DIV/0!</v>
      </c>
      <c r="L42" s="96" t="e">
        <f t="shared" si="14"/>
        <v>#DIV/0!</v>
      </c>
      <c r="M42" s="99" t="e">
        <f t="shared" si="14"/>
        <v>#DIV/0!</v>
      </c>
      <c r="N42" s="99" t="e">
        <f t="shared" si="14"/>
        <v>#DIV/0!</v>
      </c>
      <c r="O42" s="95" t="e">
        <f t="shared" si="14"/>
        <v>#DIV/0!</v>
      </c>
      <c r="P42" s="96" t="e">
        <f t="shared" si="14"/>
        <v>#DIV/0!</v>
      </c>
      <c r="Q42" s="99" t="e">
        <f t="shared" si="14"/>
        <v>#DIV/0!</v>
      </c>
      <c r="R42" s="96" t="e">
        <f t="shared" si="14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40"/>
      <c r="B43" s="141"/>
      <c r="C43" s="141"/>
      <c r="D43" s="142" t="s">
        <v>48</v>
      </c>
      <c r="E43" s="101" t="e">
        <f>STDEV(E32:E41)/SQRT(COUNT(E32:E41))</f>
        <v>#DIV/0!</v>
      </c>
      <c r="F43" s="103" t="e">
        <f t="shared" ref="F43:R43" si="15">STDEV(F32:F41)/SQRT(COUNT(F32:F41))</f>
        <v>#DIV/0!</v>
      </c>
      <c r="G43" s="101" t="e">
        <f t="shared" si="15"/>
        <v>#DIV/0!</v>
      </c>
      <c r="H43" s="102" t="e">
        <f t="shared" si="15"/>
        <v>#DIV/0!</v>
      </c>
      <c r="I43" s="103" t="e">
        <f t="shared" si="15"/>
        <v>#DIV/0!</v>
      </c>
      <c r="J43" s="103" t="e">
        <f t="shared" si="15"/>
        <v>#DIV/0!</v>
      </c>
      <c r="K43" s="101" t="e">
        <f t="shared" si="15"/>
        <v>#DIV/0!</v>
      </c>
      <c r="L43" s="102" t="e">
        <f t="shared" si="15"/>
        <v>#DIV/0!</v>
      </c>
      <c r="M43" s="103" t="e">
        <f t="shared" si="15"/>
        <v>#DIV/0!</v>
      </c>
      <c r="N43" s="103" t="e">
        <f t="shared" si="15"/>
        <v>#DIV/0!</v>
      </c>
      <c r="O43" s="101" t="e">
        <f t="shared" si="15"/>
        <v>#DIV/0!</v>
      </c>
      <c r="P43" s="102" t="e">
        <f t="shared" si="15"/>
        <v>#DIV/0!</v>
      </c>
      <c r="Q43" s="103" t="e">
        <f t="shared" si="15"/>
        <v>#DIV/0!</v>
      </c>
      <c r="R43" s="102" t="e">
        <f t="shared" si="15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64</v>
      </c>
      <c r="B44" s="53">
        <v>1</v>
      </c>
      <c r="C44" s="143" t="s">
        <v>80</v>
      </c>
      <c r="D44" s="187"/>
      <c r="E44" s="125"/>
      <c r="F44" s="126"/>
      <c r="G44" s="125"/>
      <c r="H44" s="127"/>
      <c r="I44" s="170"/>
      <c r="J44" s="126"/>
      <c r="K44" s="125"/>
      <c r="L44" s="127"/>
      <c r="M44" s="170"/>
      <c r="N44" s="126"/>
      <c r="O44" s="125"/>
      <c r="P44" s="127"/>
      <c r="Q44" s="80"/>
      <c r="R44" s="81"/>
      <c r="S44" s="17"/>
      <c r="T44" s="17"/>
      <c r="U44" s="17"/>
      <c r="V44" s="17"/>
      <c r="W44" s="19"/>
    </row>
    <row r="45" spans="1:23" ht="14.25" customHeight="1" x14ac:dyDescent="0.2">
      <c r="A45" s="209"/>
      <c r="B45" s="54">
        <v>2</v>
      </c>
      <c r="C45" s="143" t="s">
        <v>80</v>
      </c>
      <c r="D45" s="187"/>
      <c r="E45" s="129"/>
      <c r="F45" s="126"/>
      <c r="G45" s="129"/>
      <c r="H45" s="130"/>
      <c r="I45" s="128"/>
      <c r="J45" s="126"/>
      <c r="K45" s="129"/>
      <c r="L45" s="130"/>
      <c r="M45" s="128"/>
      <c r="N45" s="126"/>
      <c r="O45" s="129"/>
      <c r="P45" s="130"/>
      <c r="Q45" s="80"/>
      <c r="R45" s="81"/>
      <c r="S45" s="17"/>
      <c r="T45" s="17"/>
      <c r="U45" s="17"/>
      <c r="V45" s="17"/>
      <c r="W45" s="19"/>
    </row>
    <row r="46" spans="1:23" ht="14.25" customHeight="1" x14ac:dyDescent="0.2">
      <c r="A46" s="209"/>
      <c r="B46" s="56">
        <v>3</v>
      </c>
      <c r="C46" s="143" t="s">
        <v>80</v>
      </c>
      <c r="D46" s="188"/>
      <c r="E46" s="128"/>
      <c r="F46" s="126"/>
      <c r="G46" s="129"/>
      <c r="H46" s="130"/>
      <c r="I46" s="128"/>
      <c r="J46" s="126"/>
      <c r="K46" s="129"/>
      <c r="L46" s="130"/>
      <c r="M46" s="128"/>
      <c r="N46" s="126"/>
      <c r="O46" s="129"/>
      <c r="P46" s="130"/>
      <c r="Q46" s="80"/>
      <c r="R46" s="81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3" t="s">
        <v>80</v>
      </c>
      <c r="D47" s="188"/>
      <c r="E47" s="128"/>
      <c r="F47" s="126"/>
      <c r="G47" s="129"/>
      <c r="H47" s="130"/>
      <c r="I47" s="128"/>
      <c r="J47" s="126"/>
      <c r="K47" s="129"/>
      <c r="L47" s="130"/>
      <c r="M47" s="128"/>
      <c r="N47" s="126"/>
      <c r="O47" s="129"/>
      <c r="P47" s="130"/>
      <c r="Q47" s="80"/>
      <c r="R47" s="81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3" t="s">
        <v>80</v>
      </c>
      <c r="D48" s="188"/>
      <c r="E48" s="128"/>
      <c r="F48" s="126"/>
      <c r="G48" s="129"/>
      <c r="H48" s="130"/>
      <c r="I48" s="128"/>
      <c r="J48" s="126"/>
      <c r="K48" s="129"/>
      <c r="L48" s="130"/>
      <c r="M48" s="128"/>
      <c r="N48" s="126"/>
      <c r="O48" s="129"/>
      <c r="P48" s="130"/>
      <c r="Q48" s="80"/>
      <c r="R48" s="81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3" t="s">
        <v>80</v>
      </c>
      <c r="D49" s="188"/>
      <c r="E49" s="128"/>
      <c r="F49" s="126"/>
      <c r="G49" s="129"/>
      <c r="H49" s="130"/>
      <c r="I49" s="128"/>
      <c r="J49" s="126"/>
      <c r="K49" s="129"/>
      <c r="L49" s="130"/>
      <c r="M49" s="128"/>
      <c r="N49" s="126"/>
      <c r="O49" s="129"/>
      <c r="P49" s="130"/>
      <c r="Q49" s="80"/>
      <c r="R49" s="81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3" t="s">
        <v>80</v>
      </c>
      <c r="D50" s="189"/>
      <c r="E50" s="128"/>
      <c r="F50" s="126"/>
      <c r="G50" s="129"/>
      <c r="H50" s="130"/>
      <c r="I50" s="128"/>
      <c r="J50" s="126"/>
      <c r="K50" s="129"/>
      <c r="L50" s="130"/>
      <c r="M50" s="128"/>
      <c r="N50" s="126"/>
      <c r="O50" s="129"/>
      <c r="P50" s="130"/>
      <c r="Q50" s="80"/>
      <c r="R50" s="81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3" t="s">
        <v>80</v>
      </c>
      <c r="D51" s="189"/>
      <c r="E51" s="128"/>
      <c r="F51" s="126"/>
      <c r="G51" s="129"/>
      <c r="H51" s="130"/>
      <c r="I51" s="128"/>
      <c r="J51" s="126"/>
      <c r="K51" s="129"/>
      <c r="L51" s="130"/>
      <c r="M51" s="128"/>
      <c r="N51" s="126"/>
      <c r="O51" s="129"/>
      <c r="P51" s="130"/>
      <c r="Q51" s="129"/>
      <c r="R51" s="130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5"/>
      <c r="D52" s="144"/>
      <c r="E52" s="128"/>
      <c r="F52" s="126"/>
      <c r="G52" s="129"/>
      <c r="H52" s="130"/>
      <c r="I52" s="128"/>
      <c r="J52" s="126"/>
      <c r="K52" s="129"/>
      <c r="L52" s="130"/>
      <c r="M52" s="128"/>
      <c r="N52" s="126"/>
      <c r="O52" s="129"/>
      <c r="P52" s="130"/>
      <c r="Q52" s="129"/>
      <c r="R52" s="130"/>
      <c r="S52" s="17"/>
      <c r="T52" s="17"/>
      <c r="U52" s="17"/>
      <c r="V52" s="17"/>
      <c r="W52" s="19"/>
    </row>
    <row r="53" spans="1:23" ht="14.25" customHeight="1" x14ac:dyDescent="0.2">
      <c r="A53" s="55"/>
      <c r="B53" s="201">
        <v>10</v>
      </c>
      <c r="C53" s="202"/>
      <c r="D53" s="203"/>
      <c r="E53" s="128"/>
      <c r="F53" s="126"/>
      <c r="G53" s="134"/>
      <c r="H53" s="135"/>
      <c r="I53" s="128"/>
      <c r="J53" s="126"/>
      <c r="K53" s="134"/>
      <c r="L53" s="135"/>
      <c r="M53" s="128"/>
      <c r="N53" s="126"/>
      <c r="O53" s="134"/>
      <c r="P53" s="135"/>
      <c r="Q53" s="134"/>
      <c r="R53" s="135"/>
      <c r="S53" s="17"/>
      <c r="T53" s="17"/>
      <c r="U53" s="17"/>
      <c r="V53" s="17"/>
      <c r="W53" s="19"/>
    </row>
    <row r="54" spans="1:23" ht="14.25" customHeight="1" x14ac:dyDescent="0.2">
      <c r="A54" s="146"/>
      <c r="B54" s="147"/>
      <c r="C54" s="147"/>
      <c r="D54" s="148" t="s">
        <v>47</v>
      </c>
      <c r="E54" s="95" t="e">
        <f>AVERAGE(E44:E53)</f>
        <v>#DIV/0!</v>
      </c>
      <c r="F54" s="99" t="e">
        <f t="shared" ref="F54:Q54" si="16">AVERAGE(F44:F53)</f>
        <v>#DIV/0!</v>
      </c>
      <c r="G54" s="95" t="e">
        <f t="shared" si="16"/>
        <v>#DIV/0!</v>
      </c>
      <c r="H54" s="96" t="e">
        <f t="shared" si="16"/>
        <v>#DIV/0!</v>
      </c>
      <c r="I54" s="99" t="e">
        <f t="shared" si="16"/>
        <v>#DIV/0!</v>
      </c>
      <c r="J54" s="99" t="e">
        <f t="shared" si="16"/>
        <v>#DIV/0!</v>
      </c>
      <c r="K54" s="95" t="e">
        <f t="shared" si="16"/>
        <v>#DIV/0!</v>
      </c>
      <c r="L54" s="96" t="e">
        <f t="shared" si="16"/>
        <v>#DIV/0!</v>
      </c>
      <c r="M54" s="99" t="e">
        <f t="shared" si="16"/>
        <v>#DIV/0!</v>
      </c>
      <c r="N54" s="99" t="e">
        <f t="shared" si="16"/>
        <v>#DIV/0!</v>
      </c>
      <c r="O54" s="95" t="e">
        <f t="shared" si="16"/>
        <v>#DIV/0!</v>
      </c>
      <c r="P54" s="96" t="e">
        <f t="shared" si="16"/>
        <v>#DIV/0!</v>
      </c>
      <c r="Q54" s="99" t="e">
        <f t="shared" si="16"/>
        <v>#DIV/0!</v>
      </c>
      <c r="R54" s="96" t="e">
        <f>AVERAGE(R44:R53)</f>
        <v>#DIV/0!</v>
      </c>
      <c r="S54" s="17"/>
      <c r="T54" s="17"/>
      <c r="U54" s="17"/>
      <c r="V54" s="17"/>
      <c r="W54" s="19"/>
    </row>
    <row r="55" spans="1:23" ht="14.25" customHeight="1" x14ac:dyDescent="0.2">
      <c r="A55" s="149"/>
      <c r="B55" s="150"/>
      <c r="C55" s="150"/>
      <c r="D55" s="151" t="s">
        <v>48</v>
      </c>
      <c r="E55" s="101" t="e">
        <f>STDEV(E44:E53)/SQRT(COUNT(E44:E53))</f>
        <v>#DIV/0!</v>
      </c>
      <c r="F55" s="103" t="e">
        <f t="shared" ref="F55:Q55" si="17">STDEV(F44:F53)/SQRT(COUNT(F44:F53))</f>
        <v>#DIV/0!</v>
      </c>
      <c r="G55" s="101" t="e">
        <f t="shared" si="17"/>
        <v>#DIV/0!</v>
      </c>
      <c r="H55" s="102" t="e">
        <f t="shared" si="17"/>
        <v>#DIV/0!</v>
      </c>
      <c r="I55" s="103" t="e">
        <f t="shared" si="17"/>
        <v>#DIV/0!</v>
      </c>
      <c r="J55" s="103" t="e">
        <f t="shared" si="17"/>
        <v>#DIV/0!</v>
      </c>
      <c r="K55" s="101" t="e">
        <f t="shared" si="17"/>
        <v>#DIV/0!</v>
      </c>
      <c r="L55" s="102" t="e">
        <f t="shared" si="17"/>
        <v>#DIV/0!</v>
      </c>
      <c r="M55" s="103" t="e">
        <f t="shared" si="17"/>
        <v>#DIV/0!</v>
      </c>
      <c r="N55" s="103" t="e">
        <f t="shared" si="17"/>
        <v>#DIV/0!</v>
      </c>
      <c r="O55" s="101" t="e">
        <f t="shared" si="17"/>
        <v>#DIV/0!</v>
      </c>
      <c r="P55" s="102" t="e">
        <f t="shared" si="17"/>
        <v>#DIV/0!</v>
      </c>
      <c r="Q55" s="103" t="e">
        <f t="shared" si="17"/>
        <v>#DIV/0!</v>
      </c>
      <c r="R55" s="102" t="e">
        <f>STDEV(R44:R53)/SQRT(COUNT(R44:R53))</f>
        <v>#DIV/0!</v>
      </c>
      <c r="S55" s="17"/>
      <c r="T55" s="17"/>
      <c r="U55" s="17"/>
      <c r="V55" s="17"/>
      <c r="W55" s="19"/>
    </row>
    <row r="56" spans="1:23" ht="14.25" customHeight="1" x14ac:dyDescent="0.2">
      <c r="A56" s="171"/>
      <c r="B56" s="152"/>
      <c r="C56" s="152" t="s">
        <v>50</v>
      </c>
      <c r="D56" s="152" t="s">
        <v>51</v>
      </c>
      <c r="E56" s="153">
        <f>TTEST(E8:E17,E20:E29,2,2)</f>
        <v>7.8759499468631835E-3</v>
      </c>
      <c r="F56" s="153">
        <f t="shared" ref="F56:R56" si="18">TTEST(F8:F17,F20:F29,2,2)</f>
        <v>0.54136485583818517</v>
      </c>
      <c r="G56" s="153">
        <f t="shared" si="18"/>
        <v>0.33325556163785308</v>
      </c>
      <c r="H56" s="153">
        <f t="shared" si="18"/>
        <v>3.4408510218100041E-2</v>
      </c>
      <c r="I56" s="153">
        <f t="shared" si="18"/>
        <v>0.66745511123691037</v>
      </c>
      <c r="J56" s="153">
        <f t="shared" si="18"/>
        <v>0.1663075005319363</v>
      </c>
      <c r="K56" s="153">
        <f t="shared" si="18"/>
        <v>0.92566290809618701</v>
      </c>
      <c r="L56" s="153">
        <f t="shared" si="18"/>
        <v>0.54042464522724531</v>
      </c>
      <c r="M56" s="153">
        <f t="shared" si="18"/>
        <v>0.38145561444426512</v>
      </c>
      <c r="N56" s="153">
        <f t="shared" si="18"/>
        <v>0.54700188207509925</v>
      </c>
      <c r="O56" s="153">
        <f t="shared" si="18"/>
        <v>0.46415772286905388</v>
      </c>
      <c r="P56" s="153">
        <f t="shared" si="18"/>
        <v>0.14605201164478879</v>
      </c>
      <c r="Q56" s="153">
        <f t="shared" si="18"/>
        <v>0.20510045159150514</v>
      </c>
      <c r="R56" s="153">
        <f t="shared" si="18"/>
        <v>0.21353115065102493</v>
      </c>
      <c r="S56" s="17"/>
      <c r="T56" s="17"/>
      <c r="U56" s="17"/>
      <c r="V56" s="17"/>
      <c r="W56" s="19"/>
    </row>
    <row r="57" spans="1:23" ht="14.25" customHeight="1" x14ac:dyDescent="0.2">
      <c r="A57" s="171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19">TTEST(F8:F17,F32:F41,2,2)</f>
        <v>#DIV/0!</v>
      </c>
      <c r="G57" s="153" t="e">
        <f t="shared" si="19"/>
        <v>#DIV/0!</v>
      </c>
      <c r="H57" s="153" t="e">
        <f t="shared" si="19"/>
        <v>#DIV/0!</v>
      </c>
      <c r="I57" s="153" t="e">
        <f t="shared" si="19"/>
        <v>#DIV/0!</v>
      </c>
      <c r="J57" s="153" t="e">
        <f t="shared" si="19"/>
        <v>#DIV/0!</v>
      </c>
      <c r="K57" s="153" t="e">
        <f t="shared" si="19"/>
        <v>#DIV/0!</v>
      </c>
      <c r="L57" s="153" t="e">
        <f t="shared" si="19"/>
        <v>#DIV/0!</v>
      </c>
      <c r="M57" s="153" t="e">
        <f t="shared" si="19"/>
        <v>#DIV/0!</v>
      </c>
      <c r="N57" s="153" t="e">
        <f t="shared" si="19"/>
        <v>#DIV/0!</v>
      </c>
      <c r="O57" s="153" t="e">
        <f t="shared" si="19"/>
        <v>#DIV/0!</v>
      </c>
      <c r="P57" s="153" t="e">
        <f t="shared" si="19"/>
        <v>#DIV/0!</v>
      </c>
      <c r="Q57" s="153" t="e">
        <f t="shared" si="19"/>
        <v>#DIV/0!</v>
      </c>
      <c r="R57" s="153" t="e">
        <f t="shared" si="19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71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20">TTEST(F8:F17,F44:F53,2,2)</f>
        <v>#DIV/0!</v>
      </c>
      <c r="G58" s="153" t="e">
        <f t="shared" si="20"/>
        <v>#DIV/0!</v>
      </c>
      <c r="H58" s="153" t="e">
        <f t="shared" si="20"/>
        <v>#DIV/0!</v>
      </c>
      <c r="I58" s="153" t="e">
        <f t="shared" si="20"/>
        <v>#DIV/0!</v>
      </c>
      <c r="J58" s="153" t="e">
        <f t="shared" si="20"/>
        <v>#DIV/0!</v>
      </c>
      <c r="K58" s="153" t="e">
        <f t="shared" si="20"/>
        <v>#DIV/0!</v>
      </c>
      <c r="L58" s="153" t="e">
        <f t="shared" si="20"/>
        <v>#DIV/0!</v>
      </c>
      <c r="M58" s="153" t="e">
        <f t="shared" si="20"/>
        <v>#DIV/0!</v>
      </c>
      <c r="N58" s="153" t="e">
        <f t="shared" si="20"/>
        <v>#DIV/0!</v>
      </c>
      <c r="O58" s="153" t="e">
        <f t="shared" si="20"/>
        <v>#DIV/0!</v>
      </c>
      <c r="P58" s="153" t="e">
        <f t="shared" si="20"/>
        <v>#DIV/0!</v>
      </c>
      <c r="Q58" s="153" t="e">
        <f t="shared" si="20"/>
        <v>#DIV/0!</v>
      </c>
      <c r="R58" s="153" t="e">
        <f t="shared" si="20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71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21">TTEST(F20:F29,F32:F41,2,2)</f>
        <v>#DIV/0!</v>
      </c>
      <c r="G59" s="153" t="e">
        <f t="shared" si="21"/>
        <v>#DIV/0!</v>
      </c>
      <c r="H59" s="153" t="e">
        <f t="shared" si="21"/>
        <v>#DIV/0!</v>
      </c>
      <c r="I59" s="153" t="e">
        <f t="shared" si="21"/>
        <v>#DIV/0!</v>
      </c>
      <c r="J59" s="153" t="e">
        <f t="shared" si="21"/>
        <v>#DIV/0!</v>
      </c>
      <c r="K59" s="153" t="e">
        <f t="shared" si="21"/>
        <v>#DIV/0!</v>
      </c>
      <c r="L59" s="153" t="e">
        <f t="shared" si="21"/>
        <v>#DIV/0!</v>
      </c>
      <c r="M59" s="153" t="e">
        <f t="shared" si="21"/>
        <v>#DIV/0!</v>
      </c>
      <c r="N59" s="153" t="e">
        <f t="shared" si="21"/>
        <v>#DIV/0!</v>
      </c>
      <c r="O59" s="153" t="e">
        <f t="shared" si="21"/>
        <v>#DIV/0!</v>
      </c>
      <c r="P59" s="153" t="e">
        <f t="shared" si="21"/>
        <v>#DIV/0!</v>
      </c>
      <c r="Q59" s="153" t="e">
        <f t="shared" si="21"/>
        <v>#DIV/0!</v>
      </c>
      <c r="R59" s="153" t="e">
        <f t="shared" si="21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71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22">TTEST(F20:F29,F44:F53,2,2)</f>
        <v>#DIV/0!</v>
      </c>
      <c r="G60" s="153" t="e">
        <f t="shared" si="22"/>
        <v>#DIV/0!</v>
      </c>
      <c r="H60" s="153" t="e">
        <f t="shared" si="22"/>
        <v>#DIV/0!</v>
      </c>
      <c r="I60" s="153" t="e">
        <f t="shared" si="22"/>
        <v>#DIV/0!</v>
      </c>
      <c r="J60" s="153" t="e">
        <f t="shared" si="22"/>
        <v>#DIV/0!</v>
      </c>
      <c r="K60" s="153" t="e">
        <f t="shared" si="22"/>
        <v>#DIV/0!</v>
      </c>
      <c r="L60" s="153" t="e">
        <f t="shared" si="22"/>
        <v>#DIV/0!</v>
      </c>
      <c r="M60" s="153" t="e">
        <f t="shared" si="22"/>
        <v>#DIV/0!</v>
      </c>
      <c r="N60" s="153" t="e">
        <f t="shared" si="22"/>
        <v>#DIV/0!</v>
      </c>
      <c r="O60" s="153" t="e">
        <f t="shared" si="22"/>
        <v>#DIV/0!</v>
      </c>
      <c r="P60" s="153" t="e">
        <f t="shared" si="22"/>
        <v>#DIV/0!</v>
      </c>
      <c r="Q60" s="153" t="e">
        <f t="shared" si="22"/>
        <v>#DIV/0!</v>
      </c>
      <c r="R60" s="153" t="e">
        <f t="shared" si="22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71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23">TTEST(F32:F41,F44:F53,2,2)</f>
        <v>#DIV/0!</v>
      </c>
      <c r="G61" s="153" t="e">
        <f t="shared" si="23"/>
        <v>#DIV/0!</v>
      </c>
      <c r="H61" s="153" t="e">
        <f t="shared" si="23"/>
        <v>#DIV/0!</v>
      </c>
      <c r="I61" s="153" t="e">
        <f t="shared" si="23"/>
        <v>#DIV/0!</v>
      </c>
      <c r="J61" s="153" t="e">
        <f t="shared" si="23"/>
        <v>#DIV/0!</v>
      </c>
      <c r="K61" s="153" t="e">
        <f t="shared" si="23"/>
        <v>#DIV/0!</v>
      </c>
      <c r="L61" s="153" t="e">
        <f t="shared" si="23"/>
        <v>#DIV/0!</v>
      </c>
      <c r="M61" s="153" t="e">
        <f t="shared" si="23"/>
        <v>#DIV/0!</v>
      </c>
      <c r="N61" s="153" t="e">
        <f t="shared" si="23"/>
        <v>#DIV/0!</v>
      </c>
      <c r="O61" s="153" t="e">
        <f t="shared" si="23"/>
        <v>#DIV/0!</v>
      </c>
      <c r="P61" s="153" t="e">
        <f t="shared" si="23"/>
        <v>#DIV/0!</v>
      </c>
      <c r="Q61" s="153" t="e">
        <f t="shared" si="23"/>
        <v>#DIV/0!</v>
      </c>
      <c r="R61" s="153" t="e">
        <f t="shared" si="23"/>
        <v>#DIV/0!</v>
      </c>
      <c r="S61" s="17"/>
      <c r="T61" s="17"/>
      <c r="U61" s="17"/>
      <c r="V61" s="17"/>
      <c r="W61" s="19"/>
    </row>
    <row r="62" spans="1:23" ht="14.25" customHeight="1" x14ac:dyDescent="0.2">
      <c r="A62" s="57"/>
      <c r="B62" s="58"/>
      <c r="C62" s="59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5"/>
    </row>
  </sheetData>
  <sheetProtection algorithmName="SHA-512" hashValue="y95XJ/BTK/DWWN9bn788vK5eqSYnaBNQslzLaThhhFK2bJdCTIIrSCmmrjz+hCVdSZVQco+dBjU3Tt11P/fTCA==" saltValue="Uk1oAByLlHjkxE4KDf1PVA==" spinCount="100000" sheet="1" objects="1" scenarios="1"/>
  <mergeCells count="11">
    <mergeCell ref="Q5:R5"/>
    <mergeCell ref="E5:F5"/>
    <mergeCell ref="G5:H5"/>
    <mergeCell ref="I5:J5"/>
    <mergeCell ref="K5:L5"/>
    <mergeCell ref="M5:N5"/>
    <mergeCell ref="A9:A10"/>
    <mergeCell ref="A21:A22"/>
    <mergeCell ref="A33:A34"/>
    <mergeCell ref="A45:A46"/>
    <mergeCell ref="O5:P5"/>
  </mergeCells>
  <conditionalFormatting sqref="E56:R61">
    <cfRule type="cellIs" dxfId="4" priority="1" operator="lessThan">
      <formula>0.05</formula>
    </cfRule>
    <cfRule type="cellIs" dxfId="3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2"/>
  <sheetViews>
    <sheetView zoomScaleNormal="100" workbookViewId="0">
      <selection activeCell="A5" sqref="A5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71</v>
      </c>
      <c r="R5" s="214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56</v>
      </c>
      <c r="F6" s="46" t="s">
        <v>57</v>
      </c>
      <c r="G6" s="26" t="s">
        <v>56</v>
      </c>
      <c r="H6" s="46" t="s">
        <v>57</v>
      </c>
      <c r="I6" s="26" t="s">
        <v>56</v>
      </c>
      <c r="J6" s="46" t="s">
        <v>57</v>
      </c>
      <c r="K6" s="26" t="s">
        <v>56</v>
      </c>
      <c r="L6" s="46" t="s">
        <v>57</v>
      </c>
      <c r="M6" s="26" t="s">
        <v>56</v>
      </c>
      <c r="N6" s="46" t="s">
        <v>57</v>
      </c>
      <c r="O6" s="26" t="s">
        <v>56</v>
      </c>
      <c r="P6" s="46" t="s">
        <v>57</v>
      </c>
      <c r="Q6" s="26" t="s">
        <v>56</v>
      </c>
      <c r="R6" s="47" t="s">
        <v>57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41</v>
      </c>
      <c r="C7" s="30" t="s">
        <v>42</v>
      </c>
      <c r="D7" s="31" t="s">
        <v>43</v>
      </c>
      <c r="E7" s="32" t="s">
        <v>44</v>
      </c>
      <c r="F7" s="32" t="s">
        <v>44</v>
      </c>
      <c r="G7" s="32" t="s">
        <v>44</v>
      </c>
      <c r="H7" s="32" t="s">
        <v>44</v>
      </c>
      <c r="I7" s="32" t="s">
        <v>44</v>
      </c>
      <c r="J7" s="32" t="s">
        <v>44</v>
      </c>
      <c r="K7" s="32" t="s">
        <v>44</v>
      </c>
      <c r="L7" s="32" t="s">
        <v>44</v>
      </c>
      <c r="M7" s="32" t="s">
        <v>44</v>
      </c>
      <c r="N7" s="32" t="s">
        <v>44</v>
      </c>
      <c r="O7" s="32" t="s">
        <v>44</v>
      </c>
      <c r="P7" s="32" t="s">
        <v>44</v>
      </c>
      <c r="Q7" s="32" t="s">
        <v>44</v>
      </c>
      <c r="R7" s="32" t="s">
        <v>44</v>
      </c>
      <c r="S7" s="17"/>
      <c r="T7" s="17"/>
      <c r="U7" s="17"/>
      <c r="V7" s="17"/>
      <c r="W7" s="19"/>
    </row>
    <row r="8" spans="1:23" ht="14.25" customHeight="1" x14ac:dyDescent="0.2">
      <c r="A8" s="34" t="s">
        <v>46</v>
      </c>
      <c r="B8" s="73">
        <v>1</v>
      </c>
      <c r="C8" s="74" t="s">
        <v>80</v>
      </c>
      <c r="D8" s="181">
        <v>497</v>
      </c>
      <c r="E8" s="167">
        <v>18.1998</v>
      </c>
      <c r="F8" s="172">
        <v>81.655699999999996</v>
      </c>
      <c r="G8" s="167">
        <v>11.6332</v>
      </c>
      <c r="H8" s="172">
        <v>88.155699999999996</v>
      </c>
      <c r="I8" s="173">
        <v>14.5665</v>
      </c>
      <c r="J8" s="173">
        <v>85.244600000000005</v>
      </c>
      <c r="K8" s="167">
        <v>12.611000000000001</v>
      </c>
      <c r="L8" s="172">
        <v>87.277900000000002</v>
      </c>
      <c r="M8" s="173">
        <v>11.1332</v>
      </c>
      <c r="N8" s="173">
        <v>88.866799999999998</v>
      </c>
      <c r="O8" s="167">
        <v>12.533200000000001</v>
      </c>
      <c r="P8" s="173">
        <v>86.777900000000002</v>
      </c>
      <c r="Q8" s="75">
        <f>AVERAGE(E8,G8,I8,K8,M8,O8)</f>
        <v>13.446149999999998</v>
      </c>
      <c r="R8" s="174">
        <f>AVERAGE(F8,H8,J8,L8,N8,P8)</f>
        <v>86.329766666666671</v>
      </c>
      <c r="S8" s="17"/>
      <c r="T8" s="17"/>
      <c r="U8" s="17"/>
      <c r="V8" s="17"/>
      <c r="W8" s="19"/>
    </row>
    <row r="9" spans="1:23" ht="14.25" customHeight="1" x14ac:dyDescent="0.2">
      <c r="A9" s="206" t="s">
        <v>87</v>
      </c>
      <c r="B9" s="79">
        <v>2</v>
      </c>
      <c r="C9" s="74" t="s">
        <v>80</v>
      </c>
      <c r="D9" s="181">
        <v>498</v>
      </c>
      <c r="E9" s="111">
        <v>16.522099999999998</v>
      </c>
      <c r="F9" s="115">
        <v>83.377899999999997</v>
      </c>
      <c r="G9" s="111">
        <v>12.6554</v>
      </c>
      <c r="H9" s="115">
        <v>87.3446</v>
      </c>
      <c r="I9" s="109">
        <v>12.5665</v>
      </c>
      <c r="J9" s="109">
        <v>87.366799999999998</v>
      </c>
      <c r="K9" s="111">
        <v>14.3332</v>
      </c>
      <c r="L9" s="115">
        <v>85.533500000000004</v>
      </c>
      <c r="M9" s="109">
        <v>12.8271</v>
      </c>
      <c r="N9" s="109">
        <v>87.150700000000001</v>
      </c>
      <c r="O9" s="111">
        <v>9.1999099999999991</v>
      </c>
      <c r="P9" s="109">
        <v>90.793999999999997</v>
      </c>
      <c r="Q9" s="80">
        <f t="shared" ref="Q9:Q11" si="0">AVERAGE(E9,G9,I9,K9,M9,O9)</f>
        <v>13.017368333333332</v>
      </c>
      <c r="R9" s="86">
        <f t="shared" ref="R9:R11" si="1">AVERAGE(F9,H9,J9,L9,N9,P9)</f>
        <v>86.927916666666661</v>
      </c>
      <c r="S9" s="17"/>
      <c r="T9" s="17"/>
      <c r="U9" s="17"/>
      <c r="V9" s="17"/>
      <c r="W9" s="19"/>
    </row>
    <row r="10" spans="1:23" ht="14.25" customHeight="1" x14ac:dyDescent="0.2">
      <c r="A10" s="206"/>
      <c r="B10" s="79">
        <v>3</v>
      </c>
      <c r="C10" s="74" t="s">
        <v>80</v>
      </c>
      <c r="D10" s="181">
        <v>499</v>
      </c>
      <c r="E10" s="111">
        <v>14.244300000000001</v>
      </c>
      <c r="F10" s="115">
        <v>85.744600000000005</v>
      </c>
      <c r="G10" s="111">
        <v>12.611000000000001</v>
      </c>
      <c r="H10" s="115">
        <v>87.3446</v>
      </c>
      <c r="I10" s="109">
        <v>9.83324</v>
      </c>
      <c r="J10" s="109">
        <v>90.066800000000001</v>
      </c>
      <c r="K10" s="111">
        <v>9.7332400000000003</v>
      </c>
      <c r="L10" s="115">
        <v>90.211200000000005</v>
      </c>
      <c r="M10" s="109">
        <v>11.777699999999999</v>
      </c>
      <c r="N10" s="109">
        <v>88.177899999999994</v>
      </c>
      <c r="O10" s="111">
        <v>9.7776800000000001</v>
      </c>
      <c r="P10" s="109">
        <v>90.166799999999995</v>
      </c>
      <c r="Q10" s="80">
        <f t="shared" si="0"/>
        <v>11.329526666666668</v>
      </c>
      <c r="R10" s="86">
        <f t="shared" si="1"/>
        <v>88.618650000000002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80</v>
      </c>
      <c r="D11" s="181">
        <v>500</v>
      </c>
      <c r="E11" s="111">
        <v>14.211</v>
      </c>
      <c r="F11" s="115">
        <v>85.6113</v>
      </c>
      <c r="G11" s="111">
        <v>7.4554799999999997</v>
      </c>
      <c r="H11" s="115">
        <v>92.466700000000003</v>
      </c>
      <c r="I11" s="109">
        <v>8.9776900000000008</v>
      </c>
      <c r="J11" s="109">
        <v>90.822299999999998</v>
      </c>
      <c r="K11" s="111">
        <v>8.1221399999999999</v>
      </c>
      <c r="L11" s="115">
        <v>91.8001</v>
      </c>
      <c r="M11" s="109">
        <v>9.4332399999999996</v>
      </c>
      <c r="N11" s="109">
        <v>90.188999999999993</v>
      </c>
      <c r="O11" s="111">
        <v>2.8444199999999999</v>
      </c>
      <c r="P11" s="109">
        <v>97.111099999999993</v>
      </c>
      <c r="Q11" s="80">
        <f t="shared" si="0"/>
        <v>8.5073283333333336</v>
      </c>
      <c r="R11" s="86">
        <f t="shared" si="1"/>
        <v>91.333416666666665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 t="s">
        <v>80</v>
      </c>
      <c r="D12" s="181">
        <v>585</v>
      </c>
      <c r="E12" s="111">
        <v>12.3332</v>
      </c>
      <c r="F12" s="115">
        <v>87.655699999999996</v>
      </c>
      <c r="G12" s="111">
        <v>10.433199999999999</v>
      </c>
      <c r="H12" s="115">
        <v>89.566800000000001</v>
      </c>
      <c r="I12" s="109">
        <v>10.777699999999999</v>
      </c>
      <c r="J12" s="109">
        <v>89.222300000000004</v>
      </c>
      <c r="K12" s="111">
        <v>10.033200000000001</v>
      </c>
      <c r="L12" s="115">
        <v>89.958699999999993</v>
      </c>
      <c r="M12" s="109">
        <v>10.299899999999999</v>
      </c>
      <c r="N12" s="109">
        <v>89.700100000000006</v>
      </c>
      <c r="O12" s="111">
        <v>8.5776900000000005</v>
      </c>
      <c r="P12" s="109">
        <v>91.422300000000007</v>
      </c>
      <c r="Q12" s="80">
        <f t="shared" ref="Q12:Q15" si="2">AVERAGE(E12,G12,I12,K12,M12,O12)</f>
        <v>10.409148333333334</v>
      </c>
      <c r="R12" s="86">
        <f t="shared" ref="R12:R15" si="3">AVERAGE(F12,H12,J12,L12,N12,P12)</f>
        <v>89.587650000000011</v>
      </c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 t="s">
        <v>80</v>
      </c>
      <c r="D13" s="181">
        <v>586</v>
      </c>
      <c r="E13" s="111">
        <v>19.622</v>
      </c>
      <c r="F13" s="115">
        <v>80.366900000000001</v>
      </c>
      <c r="G13" s="111">
        <v>14.033200000000001</v>
      </c>
      <c r="H13" s="115">
        <v>85.966800000000006</v>
      </c>
      <c r="I13" s="109">
        <v>12.802899999999999</v>
      </c>
      <c r="J13" s="109">
        <v>87.188000000000002</v>
      </c>
      <c r="K13" s="111">
        <v>10.611000000000001</v>
      </c>
      <c r="L13" s="115">
        <v>89.380899999999997</v>
      </c>
      <c r="M13" s="109">
        <v>10.877700000000001</v>
      </c>
      <c r="N13" s="109">
        <v>89.115200000000002</v>
      </c>
      <c r="O13" s="111">
        <v>9.3665699999999994</v>
      </c>
      <c r="P13" s="109">
        <v>90.633399999999995</v>
      </c>
      <c r="Q13" s="80">
        <f t="shared" si="2"/>
        <v>12.885561666666668</v>
      </c>
      <c r="R13" s="86">
        <f t="shared" si="3"/>
        <v>87.108533333333341</v>
      </c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 t="s">
        <v>80</v>
      </c>
      <c r="D14" s="191">
        <v>587</v>
      </c>
      <c r="E14" s="111">
        <v>11.877700000000001</v>
      </c>
      <c r="F14" s="115">
        <v>88.111199999999997</v>
      </c>
      <c r="G14" s="111">
        <v>7.4332599999999998</v>
      </c>
      <c r="H14" s="115">
        <v>92.566699999999997</v>
      </c>
      <c r="I14" s="109">
        <v>8.2888099999999998</v>
      </c>
      <c r="J14" s="109">
        <v>91.711200000000005</v>
      </c>
      <c r="K14" s="111">
        <v>7.8110299999999997</v>
      </c>
      <c r="L14" s="115">
        <v>92.188999999999993</v>
      </c>
      <c r="M14" s="109">
        <v>5.1332800000000001</v>
      </c>
      <c r="N14" s="109">
        <v>94.866699999999994</v>
      </c>
      <c r="O14" s="111">
        <v>10.6999</v>
      </c>
      <c r="P14" s="109">
        <v>89.3001</v>
      </c>
      <c r="Q14" s="80">
        <f t="shared" si="2"/>
        <v>8.5406633333333328</v>
      </c>
      <c r="R14" s="86">
        <f t="shared" si="3"/>
        <v>91.457483333333315</v>
      </c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 t="s">
        <v>80</v>
      </c>
      <c r="D15" s="191">
        <v>588</v>
      </c>
      <c r="E15" s="80">
        <v>13.644299999999999</v>
      </c>
      <c r="F15" s="86">
        <v>86.3446</v>
      </c>
      <c r="G15" s="80">
        <v>10.1999</v>
      </c>
      <c r="H15" s="86">
        <v>89.8001</v>
      </c>
      <c r="I15" s="82">
        <v>10.855399999999999</v>
      </c>
      <c r="J15" s="82">
        <v>89.144599999999997</v>
      </c>
      <c r="K15" s="80">
        <v>9.0999099999999995</v>
      </c>
      <c r="L15" s="86">
        <v>90.900099999999995</v>
      </c>
      <c r="M15" s="82">
        <v>11.1221</v>
      </c>
      <c r="N15" s="82">
        <v>88.877899999999997</v>
      </c>
      <c r="O15" s="80">
        <v>8.8554700000000004</v>
      </c>
      <c r="P15" s="82">
        <v>91.138400000000004</v>
      </c>
      <c r="Q15" s="80">
        <f t="shared" si="2"/>
        <v>10.629513333333334</v>
      </c>
      <c r="R15" s="86">
        <f t="shared" si="3"/>
        <v>89.367616666666677</v>
      </c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2"/>
      <c r="Q16" s="80"/>
      <c r="R16" s="86"/>
      <c r="S16" s="17"/>
      <c r="T16" s="17"/>
      <c r="U16" s="17"/>
      <c r="V16" s="17"/>
      <c r="W16" s="19"/>
    </row>
    <row r="17" spans="1:23" ht="14.25" customHeight="1" x14ac:dyDescent="0.2">
      <c r="A17" s="35"/>
      <c r="B17" s="192">
        <v>10</v>
      </c>
      <c r="C17" s="193"/>
      <c r="D17" s="194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175"/>
      <c r="Q17" s="89"/>
      <c r="R17" s="90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47</v>
      </c>
      <c r="E18" s="95">
        <f>AVERAGE(E8:E17)</f>
        <v>15.081800000000001</v>
      </c>
      <c r="F18" s="96">
        <f>AVERAGE(F8:F17)</f>
        <v>84.85848750000001</v>
      </c>
      <c r="G18" s="95">
        <f t="shared" ref="G18:R18" si="4">AVERAGE(G8:G17)</f>
        <v>10.806830000000001</v>
      </c>
      <c r="H18" s="96">
        <f t="shared" si="4"/>
        <v>89.151499999999999</v>
      </c>
      <c r="I18" s="95">
        <f t="shared" si="4"/>
        <v>11.0835925</v>
      </c>
      <c r="J18" s="96">
        <f t="shared" si="4"/>
        <v>88.845824999999991</v>
      </c>
      <c r="K18" s="95">
        <f t="shared" si="4"/>
        <v>10.29434</v>
      </c>
      <c r="L18" s="96">
        <f t="shared" si="4"/>
        <v>89.656424999999984</v>
      </c>
      <c r="M18" s="95">
        <f t="shared" si="4"/>
        <v>10.3255275</v>
      </c>
      <c r="N18" s="96">
        <f t="shared" si="4"/>
        <v>89.618037499999986</v>
      </c>
      <c r="O18" s="95">
        <f t="shared" si="4"/>
        <v>8.9818549999999995</v>
      </c>
      <c r="P18" s="96">
        <f t="shared" si="4"/>
        <v>90.918000000000006</v>
      </c>
      <c r="Q18" s="97">
        <f t="shared" si="4"/>
        <v>11.0956575</v>
      </c>
      <c r="R18" s="98">
        <f t="shared" si="4"/>
        <v>88.84137916666667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48</v>
      </c>
      <c r="E19" s="101">
        <f>STDEV(E8:E17)/SQRT(COUNT(E8:E17))</f>
        <v>0.97976826742711853</v>
      </c>
      <c r="F19" s="102">
        <f>STDEV(F8:F17)/SQRT(COUNT(F8:F17))</f>
        <v>0.98732443420110672</v>
      </c>
      <c r="G19" s="101">
        <f t="shared" ref="G19:R19" si="5">STDEV(G8:G17)/SQRT(COUNT(G8:G17))</f>
        <v>0.85445341715374223</v>
      </c>
      <c r="H19" s="102">
        <f t="shared" si="5"/>
        <v>0.85472431938190252</v>
      </c>
      <c r="I19" s="101">
        <f t="shared" si="5"/>
        <v>0.74690235976605712</v>
      </c>
      <c r="J19" s="102">
        <f t="shared" si="5"/>
        <v>0.75289118184265391</v>
      </c>
      <c r="K19" s="101">
        <f t="shared" si="5"/>
        <v>0.78461260847767489</v>
      </c>
      <c r="L19" s="102">
        <f t="shared" si="5"/>
        <v>0.79829010765644681</v>
      </c>
      <c r="M19" s="101">
        <f t="shared" si="5"/>
        <v>0.82065625829869926</v>
      </c>
      <c r="N19" s="102">
        <f t="shared" si="5"/>
        <v>0.81731209809470196</v>
      </c>
      <c r="O19" s="101">
        <f t="shared" si="5"/>
        <v>0.98416073627845135</v>
      </c>
      <c r="P19" s="102">
        <f t="shared" si="5"/>
        <v>1.027097899075698</v>
      </c>
      <c r="Q19" s="101">
        <f t="shared" si="5"/>
        <v>0.6865060024608548</v>
      </c>
      <c r="R19" s="102">
        <f t="shared" si="5"/>
        <v>0.69320679542093067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49</v>
      </c>
      <c r="B20" s="37">
        <v>1</v>
      </c>
      <c r="C20" s="104" t="s">
        <v>80</v>
      </c>
      <c r="D20" s="182">
        <v>473</v>
      </c>
      <c r="E20" s="109">
        <v>12.488799999999999</v>
      </c>
      <c r="F20" s="115">
        <v>87.500100000000003</v>
      </c>
      <c r="G20" s="167">
        <v>12.501899999999999</v>
      </c>
      <c r="H20" s="172">
        <v>87.488</v>
      </c>
      <c r="I20" s="173">
        <v>10.899900000000001</v>
      </c>
      <c r="J20" s="173">
        <v>88.302099999999996</v>
      </c>
      <c r="K20" s="167">
        <v>10.6999</v>
      </c>
      <c r="L20" s="172">
        <v>89.3001</v>
      </c>
      <c r="M20" s="173">
        <v>11.588800000000001</v>
      </c>
      <c r="N20" s="173">
        <v>87.022400000000005</v>
      </c>
      <c r="O20" s="167">
        <v>10.539199999999999</v>
      </c>
      <c r="P20" s="172">
        <v>88.971900000000005</v>
      </c>
      <c r="Q20" s="80">
        <f t="shared" ref="Q20" si="6">AVERAGE(E20,G20,I20,K20,M20,O20)</f>
        <v>11.453083333333332</v>
      </c>
      <c r="R20" s="86">
        <f t="shared" ref="R20" si="7">AVERAGE(F20,H20,J20,L20,N20,P20)</f>
        <v>88.097433333333342</v>
      </c>
      <c r="S20" s="17"/>
      <c r="T20" s="17"/>
      <c r="U20" s="17"/>
      <c r="V20" s="17"/>
      <c r="W20" s="19"/>
    </row>
    <row r="21" spans="1:23" ht="14.25" customHeight="1" x14ac:dyDescent="0.2">
      <c r="A21" s="207" t="s">
        <v>88</v>
      </c>
      <c r="B21" s="39">
        <v>2</v>
      </c>
      <c r="C21" s="107" t="s">
        <v>80</v>
      </c>
      <c r="D21" s="183">
        <v>474</v>
      </c>
      <c r="E21" s="109">
        <v>17.099799999999998</v>
      </c>
      <c r="F21" s="115">
        <v>74.633600000000001</v>
      </c>
      <c r="G21" s="111">
        <v>13.722099999999999</v>
      </c>
      <c r="H21" s="115">
        <v>84.622399999999999</v>
      </c>
      <c r="I21" s="109">
        <v>12.611000000000001</v>
      </c>
      <c r="J21" s="109">
        <v>85.711299999999994</v>
      </c>
      <c r="K21" s="111">
        <v>8.7665799999999994</v>
      </c>
      <c r="L21" s="115">
        <v>91.233400000000003</v>
      </c>
      <c r="M21" s="109">
        <v>11.277699999999999</v>
      </c>
      <c r="N21" s="109">
        <v>88.211200000000005</v>
      </c>
      <c r="O21" s="111">
        <v>9.4221299999999992</v>
      </c>
      <c r="P21" s="115">
        <v>89.688999999999993</v>
      </c>
      <c r="Q21" s="80">
        <f t="shared" ref="Q21:Q22" si="8">AVERAGE(E21,G21,I21,K21,M21,O21)</f>
        <v>12.149884999999999</v>
      </c>
      <c r="R21" s="86">
        <f t="shared" ref="R21:R22" si="9">AVERAGE(F21,H21,J21,L21,N21,P21)</f>
        <v>85.683483333333342</v>
      </c>
      <c r="S21" s="17"/>
      <c r="T21" s="17"/>
      <c r="U21" s="17"/>
      <c r="V21" s="17"/>
      <c r="W21" s="19"/>
    </row>
    <row r="22" spans="1:23" ht="14.25" customHeight="1" x14ac:dyDescent="0.2">
      <c r="A22" s="207"/>
      <c r="B22" s="39">
        <v>3</v>
      </c>
      <c r="C22" s="107" t="s">
        <v>80</v>
      </c>
      <c r="D22" s="183">
        <v>475</v>
      </c>
      <c r="E22" s="109">
        <v>14.510999999999999</v>
      </c>
      <c r="F22" s="115">
        <v>80.511300000000006</v>
      </c>
      <c r="G22" s="111">
        <v>12.722099999999999</v>
      </c>
      <c r="H22" s="115">
        <v>79.000200000000007</v>
      </c>
      <c r="I22" s="109">
        <v>10.933199999999999</v>
      </c>
      <c r="J22" s="109">
        <v>77.744699999999995</v>
      </c>
      <c r="K22" s="111">
        <v>11.399900000000001</v>
      </c>
      <c r="L22" s="115">
        <v>81.189099999999996</v>
      </c>
      <c r="M22" s="109">
        <v>9.0999099999999995</v>
      </c>
      <c r="N22" s="109">
        <v>80.855699999999999</v>
      </c>
      <c r="O22" s="111">
        <v>10.399900000000001</v>
      </c>
      <c r="P22" s="115">
        <v>76.6113</v>
      </c>
      <c r="Q22" s="80">
        <f t="shared" si="8"/>
        <v>11.511001666666667</v>
      </c>
      <c r="R22" s="86">
        <f t="shared" si="9"/>
        <v>79.31871666666666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7" t="s">
        <v>80</v>
      </c>
      <c r="D23" s="183">
        <v>496</v>
      </c>
      <c r="E23" s="109">
        <v>18.288699999999999</v>
      </c>
      <c r="F23" s="115">
        <v>79.989099999999993</v>
      </c>
      <c r="G23" s="111">
        <v>10.822100000000001</v>
      </c>
      <c r="H23" s="115">
        <v>87.044600000000003</v>
      </c>
      <c r="I23" s="109">
        <v>8.1473600000000008</v>
      </c>
      <c r="J23" s="109">
        <v>83.2881</v>
      </c>
      <c r="K23" s="111">
        <v>9.0665800000000001</v>
      </c>
      <c r="L23" s="115">
        <v>90.669799999999995</v>
      </c>
      <c r="M23" s="109">
        <v>8.6999099999999991</v>
      </c>
      <c r="N23" s="109">
        <v>90.022300000000001</v>
      </c>
      <c r="O23" s="111">
        <v>10.6332</v>
      </c>
      <c r="P23" s="115">
        <v>86.500100000000003</v>
      </c>
      <c r="Q23" s="80">
        <f t="shared" ref="Q23" si="10">AVERAGE(E23,G23,I23,K23,M23,O23)</f>
        <v>10.942974999999999</v>
      </c>
      <c r="R23" s="86">
        <f t="shared" ref="R23" si="11">AVERAGE(F23,H23,J23,L23,N23,P23)</f>
        <v>86.25233333333334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7" t="s">
        <v>80</v>
      </c>
      <c r="D24" s="183">
        <v>581</v>
      </c>
      <c r="E24" s="109">
        <v>47.400500000000001</v>
      </c>
      <c r="F24" s="115">
        <v>52.466099999999997</v>
      </c>
      <c r="G24" s="111">
        <v>66.944800000000001</v>
      </c>
      <c r="H24" s="115">
        <v>33.055199999999999</v>
      </c>
      <c r="I24" s="109">
        <v>66.441800000000001</v>
      </c>
      <c r="J24" s="109">
        <v>33.558199999999999</v>
      </c>
      <c r="K24" s="111">
        <v>64.581100000000006</v>
      </c>
      <c r="L24" s="115">
        <v>35.410800000000002</v>
      </c>
      <c r="M24" s="109">
        <v>68.078100000000006</v>
      </c>
      <c r="N24" s="109">
        <v>31.921900000000001</v>
      </c>
      <c r="O24" s="111">
        <v>55.400399999999998</v>
      </c>
      <c r="P24" s="115">
        <v>44.599600000000002</v>
      </c>
      <c r="Q24" s="80">
        <f t="shared" ref="Q24:Q27" si="12">AVERAGE(E24,G24,I24,K24,M24,O24)</f>
        <v>61.474449999999997</v>
      </c>
      <c r="R24" s="86">
        <f t="shared" ref="R24:R27" si="13">AVERAGE(F24,H24,J24,L24,N24,P24)</f>
        <v>38.501966666666668</v>
      </c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7" t="s">
        <v>80</v>
      </c>
      <c r="D25" s="183">
        <v>582</v>
      </c>
      <c r="E25" s="109">
        <v>72.077100000000002</v>
      </c>
      <c r="F25" s="115">
        <v>27.911799999999999</v>
      </c>
      <c r="G25" s="111">
        <v>65.845799999999997</v>
      </c>
      <c r="H25" s="115">
        <v>34.154200000000003</v>
      </c>
      <c r="I25" s="109">
        <v>52.930799999999998</v>
      </c>
      <c r="J25" s="109">
        <v>47.069200000000002</v>
      </c>
      <c r="K25" s="111">
        <v>58.599400000000003</v>
      </c>
      <c r="L25" s="115">
        <v>41.392499999999998</v>
      </c>
      <c r="M25" s="109">
        <v>59.7044</v>
      </c>
      <c r="N25" s="109">
        <v>40.2956</v>
      </c>
      <c r="O25" s="111">
        <v>56.232799999999997</v>
      </c>
      <c r="P25" s="115">
        <v>43.761099999999999</v>
      </c>
      <c r="Q25" s="80">
        <f t="shared" si="12"/>
        <v>60.898383333333335</v>
      </c>
      <c r="R25" s="86">
        <f t="shared" si="13"/>
        <v>39.0974</v>
      </c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7" t="s">
        <v>80</v>
      </c>
      <c r="D26" s="190">
        <v>583</v>
      </c>
      <c r="E26" s="111">
        <v>58.300400000000003</v>
      </c>
      <c r="F26" s="115">
        <v>41.688499999999998</v>
      </c>
      <c r="G26" s="111">
        <v>63.211500000000001</v>
      </c>
      <c r="H26" s="115">
        <v>36.788499999999999</v>
      </c>
      <c r="I26" s="109">
        <v>62.152900000000002</v>
      </c>
      <c r="J26" s="109">
        <v>37.847099999999998</v>
      </c>
      <c r="K26" s="111">
        <v>53.177199999999999</v>
      </c>
      <c r="L26" s="115">
        <v>46.822800000000001</v>
      </c>
      <c r="M26" s="109">
        <v>42.832900000000002</v>
      </c>
      <c r="N26" s="109">
        <v>57.16</v>
      </c>
      <c r="O26" s="111">
        <v>57.4328</v>
      </c>
      <c r="P26" s="115">
        <v>42.561100000000003</v>
      </c>
      <c r="Q26" s="80">
        <f t="shared" si="12"/>
        <v>56.18461666666667</v>
      </c>
      <c r="R26" s="86">
        <f t="shared" si="13"/>
        <v>43.81133333333333</v>
      </c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7" t="s">
        <v>80</v>
      </c>
      <c r="D27" s="190">
        <v>584</v>
      </c>
      <c r="E27" s="111">
        <v>74.599299999999999</v>
      </c>
      <c r="F27" s="115">
        <v>25.389600000000002</v>
      </c>
      <c r="G27" s="111">
        <v>62.643799999999999</v>
      </c>
      <c r="H27" s="115">
        <v>37.356200000000001</v>
      </c>
      <c r="I27" s="109">
        <v>50.954999999999998</v>
      </c>
      <c r="J27" s="109">
        <v>49.045000000000002</v>
      </c>
      <c r="K27" s="111">
        <v>49.314599999999999</v>
      </c>
      <c r="L27" s="115">
        <v>50.685400000000001</v>
      </c>
      <c r="M27" s="109">
        <v>64.726600000000005</v>
      </c>
      <c r="N27" s="109">
        <v>35.266300000000001</v>
      </c>
      <c r="O27" s="111">
        <v>55.316699999999997</v>
      </c>
      <c r="P27" s="115">
        <v>44.683300000000003</v>
      </c>
      <c r="Q27" s="80">
        <f t="shared" si="12"/>
        <v>59.592666666666673</v>
      </c>
      <c r="R27" s="86">
        <f t="shared" si="13"/>
        <v>40.404299999999999</v>
      </c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4"/>
      <c r="D28" s="113"/>
      <c r="E28" s="111"/>
      <c r="F28" s="115"/>
      <c r="G28" s="111"/>
      <c r="H28" s="115"/>
      <c r="I28" s="109"/>
      <c r="J28" s="109"/>
      <c r="K28" s="111"/>
      <c r="L28" s="115"/>
      <c r="M28" s="109"/>
      <c r="N28" s="109"/>
      <c r="O28" s="111"/>
      <c r="P28" s="115"/>
      <c r="Q28" s="80"/>
      <c r="R28" s="86"/>
      <c r="S28" s="17"/>
      <c r="T28" s="17"/>
      <c r="U28" s="17"/>
      <c r="V28" s="17"/>
      <c r="W28" s="19"/>
    </row>
    <row r="29" spans="1:23" ht="14.25" customHeight="1" x14ac:dyDescent="0.2">
      <c r="A29" s="38"/>
      <c r="B29" s="195">
        <v>10</v>
      </c>
      <c r="C29" s="196"/>
      <c r="D29" s="197"/>
      <c r="E29" s="116"/>
      <c r="F29" s="117"/>
      <c r="G29" s="111"/>
      <c r="H29" s="115"/>
      <c r="I29" s="109"/>
      <c r="J29" s="109"/>
      <c r="K29" s="111"/>
      <c r="L29" s="115"/>
      <c r="M29" s="109"/>
      <c r="N29" s="109"/>
      <c r="O29" s="111"/>
      <c r="P29" s="115"/>
      <c r="Q29" s="89"/>
      <c r="R29" s="90"/>
      <c r="S29" s="17"/>
      <c r="T29" s="17"/>
      <c r="U29" s="17"/>
      <c r="V29" s="17"/>
      <c r="W29" s="19"/>
    </row>
    <row r="30" spans="1:23" ht="14.25" customHeight="1" x14ac:dyDescent="0.2">
      <c r="A30" s="118"/>
      <c r="B30" s="119"/>
      <c r="C30" s="119"/>
      <c r="D30" s="120" t="s">
        <v>47</v>
      </c>
      <c r="E30" s="95">
        <f t="shared" ref="E30:R30" si="14">AVERAGE(E20:E29)</f>
        <v>39.345700000000001</v>
      </c>
      <c r="F30" s="96">
        <f t="shared" si="14"/>
        <v>58.761262499999987</v>
      </c>
      <c r="G30" s="95">
        <f t="shared" si="14"/>
        <v>38.551762499999995</v>
      </c>
      <c r="H30" s="96">
        <f t="shared" si="14"/>
        <v>59.938662500000007</v>
      </c>
      <c r="I30" s="95">
        <f t="shared" si="14"/>
        <v>34.383994999999999</v>
      </c>
      <c r="J30" s="96">
        <f t="shared" si="14"/>
        <v>62.820712500000006</v>
      </c>
      <c r="K30" s="95">
        <f t="shared" si="14"/>
        <v>33.200657499999998</v>
      </c>
      <c r="L30" s="96">
        <f t="shared" si="14"/>
        <v>65.837987499999997</v>
      </c>
      <c r="M30" s="95">
        <f t="shared" si="14"/>
        <v>34.501040000000003</v>
      </c>
      <c r="N30" s="96">
        <f t="shared" si="14"/>
        <v>63.844425000000001</v>
      </c>
      <c r="O30" s="95">
        <f t="shared" si="14"/>
        <v>33.172141249999996</v>
      </c>
      <c r="P30" s="96">
        <f t="shared" si="14"/>
        <v>64.672174999999996</v>
      </c>
      <c r="Q30" s="95">
        <f t="shared" si="14"/>
        <v>35.525882708333334</v>
      </c>
      <c r="R30" s="96">
        <f t="shared" si="14"/>
        <v>62.645870833333326</v>
      </c>
      <c r="S30" s="17"/>
      <c r="T30" s="17"/>
      <c r="U30" s="17"/>
      <c r="V30" s="17"/>
      <c r="W30" s="19"/>
    </row>
    <row r="31" spans="1:23" ht="14.25" customHeight="1" x14ac:dyDescent="0.2">
      <c r="A31" s="121"/>
      <c r="B31" s="122"/>
      <c r="C31" s="122"/>
      <c r="D31" s="123" t="s">
        <v>48</v>
      </c>
      <c r="E31" s="101">
        <f t="shared" ref="E31:R31" si="15">STDEV(E20:E29)/SQRT(COUNT(E20:E29))</f>
        <v>9.4629484528192531</v>
      </c>
      <c r="F31" s="102">
        <f t="shared" si="15"/>
        <v>8.8620404168352085</v>
      </c>
      <c r="G31" s="101">
        <f t="shared" si="15"/>
        <v>9.8840339413032599</v>
      </c>
      <c r="H31" s="102">
        <f t="shared" si="15"/>
        <v>9.3539369595476707</v>
      </c>
      <c r="I31" s="101">
        <f t="shared" si="15"/>
        <v>9.1429754068252151</v>
      </c>
      <c r="J31" s="102">
        <f t="shared" si="15"/>
        <v>8.1643561322424354</v>
      </c>
      <c r="K31" s="101">
        <f t="shared" si="15"/>
        <v>8.913858232434194</v>
      </c>
      <c r="L31" s="102">
        <f t="shared" si="15"/>
        <v>8.6212436208356387</v>
      </c>
      <c r="M31" s="101">
        <f t="shared" si="15"/>
        <v>9.56261569400918</v>
      </c>
      <c r="N31" s="102">
        <f t="shared" si="15"/>
        <v>9.0045706578411409</v>
      </c>
      <c r="O31" s="101">
        <f t="shared" si="15"/>
        <v>8.6682326655574542</v>
      </c>
      <c r="P31" s="102">
        <f t="shared" si="15"/>
        <v>7.9775972818698104</v>
      </c>
      <c r="Q31" s="101">
        <f t="shared" si="15"/>
        <v>9.0928308816468384</v>
      </c>
      <c r="R31" s="102">
        <f t="shared" si="15"/>
        <v>8.4522274603336278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58</v>
      </c>
      <c r="B32" s="40">
        <v>1</v>
      </c>
      <c r="C32" s="124" t="s">
        <v>80</v>
      </c>
      <c r="D32" s="184"/>
      <c r="E32" s="125"/>
      <c r="F32" s="128"/>
      <c r="G32" s="125"/>
      <c r="H32" s="176"/>
      <c r="I32" s="128"/>
      <c r="J32" s="128"/>
      <c r="K32" s="125"/>
      <c r="L32" s="176"/>
      <c r="M32" s="128"/>
      <c r="N32" s="128"/>
      <c r="O32" s="125"/>
      <c r="P32" s="176"/>
      <c r="Q32" s="75"/>
      <c r="R32" s="174"/>
      <c r="S32" s="17"/>
      <c r="T32" s="17"/>
      <c r="U32" s="17"/>
      <c r="V32" s="17"/>
      <c r="W32" s="19"/>
    </row>
    <row r="33" spans="1:23" ht="14.25" customHeight="1" x14ac:dyDescent="0.2">
      <c r="A33" s="208"/>
      <c r="B33" s="41">
        <v>2</v>
      </c>
      <c r="C33" s="124" t="s">
        <v>80</v>
      </c>
      <c r="D33" s="185"/>
      <c r="E33" s="129"/>
      <c r="F33" s="128"/>
      <c r="G33" s="129"/>
      <c r="H33" s="133"/>
      <c r="I33" s="128"/>
      <c r="J33" s="128"/>
      <c r="K33" s="129"/>
      <c r="L33" s="133"/>
      <c r="M33" s="128"/>
      <c r="N33" s="128"/>
      <c r="O33" s="129"/>
      <c r="P33" s="133"/>
      <c r="Q33" s="80"/>
      <c r="R33" s="86"/>
      <c r="S33" s="17"/>
      <c r="T33" s="17"/>
      <c r="U33" s="17"/>
      <c r="V33" s="17"/>
      <c r="W33" s="19"/>
    </row>
    <row r="34" spans="1:23" ht="14.25" customHeight="1" x14ac:dyDescent="0.2">
      <c r="A34" s="208"/>
      <c r="B34" s="43">
        <v>3</v>
      </c>
      <c r="C34" s="124" t="s">
        <v>80</v>
      </c>
      <c r="D34" s="185"/>
      <c r="E34" s="128"/>
      <c r="F34" s="128"/>
      <c r="G34" s="129"/>
      <c r="H34" s="133"/>
      <c r="I34" s="128"/>
      <c r="J34" s="128"/>
      <c r="K34" s="129"/>
      <c r="L34" s="133"/>
      <c r="M34" s="128"/>
      <c r="N34" s="128"/>
      <c r="O34" s="129"/>
      <c r="P34" s="133"/>
      <c r="Q34" s="80"/>
      <c r="R34" s="86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4" t="s">
        <v>80</v>
      </c>
      <c r="D35" s="185"/>
      <c r="E35" s="128"/>
      <c r="F35" s="128"/>
      <c r="G35" s="129"/>
      <c r="H35" s="133"/>
      <c r="I35" s="128"/>
      <c r="J35" s="128"/>
      <c r="K35" s="129"/>
      <c r="L35" s="133"/>
      <c r="M35" s="128"/>
      <c r="N35" s="128"/>
      <c r="O35" s="129"/>
      <c r="P35" s="133"/>
      <c r="Q35" s="80"/>
      <c r="R35" s="86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4" t="s">
        <v>80</v>
      </c>
      <c r="D36" s="185"/>
      <c r="E36" s="128"/>
      <c r="F36" s="128"/>
      <c r="G36" s="129"/>
      <c r="H36" s="133"/>
      <c r="I36" s="128"/>
      <c r="J36" s="128"/>
      <c r="K36" s="129"/>
      <c r="L36" s="133"/>
      <c r="M36" s="128"/>
      <c r="N36" s="128"/>
      <c r="O36" s="129"/>
      <c r="P36" s="133"/>
      <c r="Q36" s="80"/>
      <c r="R36" s="86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4" t="s">
        <v>80</v>
      </c>
      <c r="D37" s="185"/>
      <c r="E37" s="128"/>
      <c r="F37" s="128"/>
      <c r="G37" s="129"/>
      <c r="H37" s="133"/>
      <c r="I37" s="128"/>
      <c r="J37" s="128"/>
      <c r="K37" s="129"/>
      <c r="L37" s="133"/>
      <c r="M37" s="128"/>
      <c r="N37" s="128"/>
      <c r="O37" s="129"/>
      <c r="P37" s="133"/>
      <c r="Q37" s="80"/>
      <c r="R37" s="86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4" t="s">
        <v>80</v>
      </c>
      <c r="D38" s="186"/>
      <c r="E38" s="128"/>
      <c r="F38" s="128"/>
      <c r="G38" s="129"/>
      <c r="H38" s="133"/>
      <c r="I38" s="128"/>
      <c r="J38" s="128"/>
      <c r="K38" s="129"/>
      <c r="L38" s="133"/>
      <c r="M38" s="128"/>
      <c r="N38" s="128"/>
      <c r="O38" s="129"/>
      <c r="P38" s="133"/>
      <c r="Q38" s="80"/>
      <c r="R38" s="86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4" t="s">
        <v>80</v>
      </c>
      <c r="D39" s="186"/>
      <c r="E39" s="128"/>
      <c r="F39" s="128"/>
      <c r="G39" s="129"/>
      <c r="H39" s="133"/>
      <c r="I39" s="128"/>
      <c r="J39" s="128"/>
      <c r="K39" s="129"/>
      <c r="L39" s="133"/>
      <c r="M39" s="128"/>
      <c r="N39" s="128"/>
      <c r="O39" s="129"/>
      <c r="P39" s="133"/>
      <c r="Q39" s="80"/>
      <c r="R39" s="86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2"/>
      <c r="D40" s="131"/>
      <c r="E40" s="128"/>
      <c r="F40" s="128"/>
      <c r="G40" s="129"/>
      <c r="H40" s="133"/>
      <c r="I40" s="128"/>
      <c r="J40" s="128"/>
      <c r="K40" s="129"/>
      <c r="L40" s="133"/>
      <c r="M40" s="128"/>
      <c r="N40" s="128"/>
      <c r="O40" s="129"/>
      <c r="P40" s="133"/>
      <c r="Q40" s="80"/>
      <c r="R40" s="86"/>
      <c r="S40" s="17"/>
      <c r="T40" s="17"/>
      <c r="U40" s="17"/>
      <c r="V40" s="17"/>
      <c r="W40" s="19"/>
    </row>
    <row r="41" spans="1:23" ht="14.25" customHeight="1" x14ac:dyDescent="0.2">
      <c r="A41" s="42"/>
      <c r="B41" s="198">
        <v>10</v>
      </c>
      <c r="C41" s="199"/>
      <c r="D41" s="200"/>
      <c r="E41" s="128"/>
      <c r="F41" s="128"/>
      <c r="G41" s="134"/>
      <c r="H41" s="136"/>
      <c r="I41" s="128"/>
      <c r="J41" s="128"/>
      <c r="K41" s="134"/>
      <c r="L41" s="136"/>
      <c r="M41" s="128"/>
      <c r="N41" s="128"/>
      <c r="O41" s="134"/>
      <c r="P41" s="136"/>
      <c r="Q41" s="89"/>
      <c r="R41" s="90"/>
      <c r="S41" s="17"/>
      <c r="T41" s="17"/>
      <c r="U41" s="17"/>
      <c r="V41" s="17"/>
      <c r="W41" s="19"/>
    </row>
    <row r="42" spans="1:23" ht="14.25" customHeight="1" x14ac:dyDescent="0.2">
      <c r="A42" s="137"/>
      <c r="B42" s="138"/>
      <c r="C42" s="138"/>
      <c r="D42" s="139" t="s">
        <v>47</v>
      </c>
      <c r="E42" s="95" t="e">
        <f t="shared" ref="E42:R42" si="16">AVERAGE(E32:E41)</f>
        <v>#DIV/0!</v>
      </c>
      <c r="F42" s="96" t="e">
        <f t="shared" si="16"/>
        <v>#DIV/0!</v>
      </c>
      <c r="G42" s="95" t="e">
        <f t="shared" si="16"/>
        <v>#DIV/0!</v>
      </c>
      <c r="H42" s="96" t="e">
        <f t="shared" si="16"/>
        <v>#DIV/0!</v>
      </c>
      <c r="I42" s="95" t="e">
        <f t="shared" si="16"/>
        <v>#DIV/0!</v>
      </c>
      <c r="J42" s="96" t="e">
        <f t="shared" si="16"/>
        <v>#DIV/0!</v>
      </c>
      <c r="K42" s="95" t="e">
        <f t="shared" si="16"/>
        <v>#DIV/0!</v>
      </c>
      <c r="L42" s="96" t="e">
        <f t="shared" si="16"/>
        <v>#DIV/0!</v>
      </c>
      <c r="M42" s="95" t="e">
        <f t="shared" si="16"/>
        <v>#DIV/0!</v>
      </c>
      <c r="N42" s="96" t="e">
        <f t="shared" si="16"/>
        <v>#DIV/0!</v>
      </c>
      <c r="O42" s="95" t="e">
        <f t="shared" si="16"/>
        <v>#DIV/0!</v>
      </c>
      <c r="P42" s="96" t="e">
        <f t="shared" si="16"/>
        <v>#DIV/0!</v>
      </c>
      <c r="Q42" s="95" t="e">
        <f t="shared" si="16"/>
        <v>#DIV/0!</v>
      </c>
      <c r="R42" s="96" t="e">
        <f t="shared" si="16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40"/>
      <c r="B43" s="141"/>
      <c r="C43" s="141"/>
      <c r="D43" s="142" t="s">
        <v>48</v>
      </c>
      <c r="E43" s="101" t="e">
        <f t="shared" ref="E43:R43" si="17">STDEV(E32:E41)/SQRT(COUNT(E32:E41))</f>
        <v>#DIV/0!</v>
      </c>
      <c r="F43" s="102" t="e">
        <f t="shared" si="17"/>
        <v>#DIV/0!</v>
      </c>
      <c r="G43" s="101" t="e">
        <f t="shared" si="17"/>
        <v>#DIV/0!</v>
      </c>
      <c r="H43" s="102" t="e">
        <f t="shared" si="17"/>
        <v>#DIV/0!</v>
      </c>
      <c r="I43" s="101" t="e">
        <f t="shared" si="17"/>
        <v>#DIV/0!</v>
      </c>
      <c r="J43" s="102" t="e">
        <f t="shared" si="17"/>
        <v>#DIV/0!</v>
      </c>
      <c r="K43" s="101" t="e">
        <f t="shared" si="17"/>
        <v>#DIV/0!</v>
      </c>
      <c r="L43" s="102" t="e">
        <f t="shared" si="17"/>
        <v>#DIV/0!</v>
      </c>
      <c r="M43" s="101" t="e">
        <f t="shared" si="17"/>
        <v>#DIV/0!</v>
      </c>
      <c r="N43" s="102" t="e">
        <f t="shared" si="17"/>
        <v>#DIV/0!</v>
      </c>
      <c r="O43" s="101" t="e">
        <f t="shared" si="17"/>
        <v>#DIV/0!</v>
      </c>
      <c r="P43" s="102" t="e">
        <f t="shared" si="17"/>
        <v>#DIV/0!</v>
      </c>
      <c r="Q43" s="101" t="e">
        <f t="shared" si="17"/>
        <v>#DIV/0!</v>
      </c>
      <c r="R43" s="102" t="e">
        <f t="shared" si="17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64</v>
      </c>
      <c r="B44" s="53">
        <v>1</v>
      </c>
      <c r="C44" s="143" t="s">
        <v>80</v>
      </c>
      <c r="D44" s="187"/>
      <c r="E44" s="125"/>
      <c r="F44" s="128"/>
      <c r="G44" s="125"/>
      <c r="H44" s="176"/>
      <c r="I44" s="128"/>
      <c r="J44" s="128"/>
      <c r="K44" s="125"/>
      <c r="L44" s="176"/>
      <c r="M44" s="128"/>
      <c r="N44" s="128"/>
      <c r="O44" s="125"/>
      <c r="P44" s="176"/>
      <c r="Q44" s="75"/>
      <c r="R44" s="174"/>
      <c r="S44" s="17"/>
      <c r="T44" s="17"/>
      <c r="U44" s="17"/>
      <c r="V44" s="17"/>
      <c r="W44" s="19"/>
    </row>
    <row r="45" spans="1:23" ht="14.25" customHeight="1" x14ac:dyDescent="0.2">
      <c r="A45" s="209"/>
      <c r="B45" s="54">
        <v>2</v>
      </c>
      <c r="C45" s="143" t="s">
        <v>80</v>
      </c>
      <c r="D45" s="187"/>
      <c r="E45" s="129"/>
      <c r="F45" s="128"/>
      <c r="G45" s="129"/>
      <c r="H45" s="133"/>
      <c r="I45" s="128"/>
      <c r="J45" s="128"/>
      <c r="K45" s="129"/>
      <c r="L45" s="133"/>
      <c r="M45" s="128"/>
      <c r="N45" s="128"/>
      <c r="O45" s="129"/>
      <c r="P45" s="133"/>
      <c r="Q45" s="80"/>
      <c r="R45" s="86"/>
      <c r="S45" s="17"/>
      <c r="T45" s="17"/>
      <c r="U45" s="17"/>
      <c r="V45" s="17"/>
      <c r="W45" s="19"/>
    </row>
    <row r="46" spans="1:23" ht="14.25" customHeight="1" x14ac:dyDescent="0.2">
      <c r="A46" s="209"/>
      <c r="B46" s="56">
        <v>3</v>
      </c>
      <c r="C46" s="143" t="s">
        <v>80</v>
      </c>
      <c r="D46" s="188"/>
      <c r="E46" s="128"/>
      <c r="F46" s="128"/>
      <c r="G46" s="129"/>
      <c r="H46" s="133"/>
      <c r="I46" s="128"/>
      <c r="J46" s="128"/>
      <c r="K46" s="129"/>
      <c r="L46" s="133"/>
      <c r="M46" s="128"/>
      <c r="N46" s="128"/>
      <c r="O46" s="129"/>
      <c r="P46" s="133"/>
      <c r="Q46" s="80"/>
      <c r="R46" s="86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3" t="s">
        <v>80</v>
      </c>
      <c r="D47" s="188"/>
      <c r="E47" s="128"/>
      <c r="F47" s="128"/>
      <c r="G47" s="129"/>
      <c r="H47" s="133"/>
      <c r="I47" s="128"/>
      <c r="J47" s="128"/>
      <c r="K47" s="129"/>
      <c r="L47" s="133"/>
      <c r="M47" s="128"/>
      <c r="N47" s="128"/>
      <c r="O47" s="129"/>
      <c r="P47" s="133"/>
      <c r="Q47" s="80"/>
      <c r="R47" s="86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3" t="s">
        <v>80</v>
      </c>
      <c r="D48" s="188"/>
      <c r="E48" s="128"/>
      <c r="F48" s="128"/>
      <c r="G48" s="129"/>
      <c r="H48" s="133"/>
      <c r="I48" s="128"/>
      <c r="J48" s="128"/>
      <c r="K48" s="129"/>
      <c r="L48" s="133"/>
      <c r="M48" s="128"/>
      <c r="N48" s="128"/>
      <c r="O48" s="129"/>
      <c r="P48" s="133"/>
      <c r="Q48" s="80"/>
      <c r="R48" s="86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3" t="s">
        <v>80</v>
      </c>
      <c r="D49" s="188"/>
      <c r="E49" s="128"/>
      <c r="F49" s="128"/>
      <c r="G49" s="129"/>
      <c r="H49" s="133"/>
      <c r="I49" s="128"/>
      <c r="J49" s="128"/>
      <c r="K49" s="129"/>
      <c r="L49" s="133"/>
      <c r="M49" s="128"/>
      <c r="N49" s="128"/>
      <c r="O49" s="129"/>
      <c r="P49" s="133"/>
      <c r="Q49" s="80"/>
      <c r="R49" s="86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3" t="s">
        <v>80</v>
      </c>
      <c r="D50" s="189"/>
      <c r="E50" s="128"/>
      <c r="F50" s="128"/>
      <c r="G50" s="129"/>
      <c r="H50" s="133"/>
      <c r="I50" s="128"/>
      <c r="J50" s="128"/>
      <c r="K50" s="129"/>
      <c r="L50" s="133"/>
      <c r="M50" s="128"/>
      <c r="N50" s="128"/>
      <c r="O50" s="129"/>
      <c r="P50" s="133"/>
      <c r="Q50" s="80"/>
      <c r="R50" s="86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3" t="s">
        <v>80</v>
      </c>
      <c r="D51" s="189"/>
      <c r="E51" s="128"/>
      <c r="F51" s="128"/>
      <c r="G51" s="129"/>
      <c r="H51" s="133"/>
      <c r="I51" s="128"/>
      <c r="J51" s="128"/>
      <c r="K51" s="129"/>
      <c r="L51" s="133"/>
      <c r="M51" s="128"/>
      <c r="N51" s="128"/>
      <c r="O51" s="129"/>
      <c r="P51" s="133"/>
      <c r="Q51" s="80"/>
      <c r="R51" s="86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5"/>
      <c r="D52" s="144"/>
      <c r="E52" s="128"/>
      <c r="F52" s="128"/>
      <c r="G52" s="129"/>
      <c r="H52" s="133"/>
      <c r="I52" s="128"/>
      <c r="J52" s="128"/>
      <c r="K52" s="129"/>
      <c r="L52" s="133"/>
      <c r="M52" s="128"/>
      <c r="N52" s="128"/>
      <c r="O52" s="129"/>
      <c r="P52" s="133"/>
      <c r="Q52" s="80"/>
      <c r="R52" s="86"/>
      <c r="S52" s="17"/>
      <c r="T52" s="17"/>
      <c r="U52" s="17"/>
      <c r="V52" s="17"/>
      <c r="W52" s="19"/>
    </row>
    <row r="53" spans="1:23" ht="14.25" customHeight="1" x14ac:dyDescent="0.2">
      <c r="A53" s="55"/>
      <c r="B53" s="201">
        <v>10</v>
      </c>
      <c r="C53" s="202"/>
      <c r="D53" s="203"/>
      <c r="E53" s="128"/>
      <c r="F53" s="128"/>
      <c r="G53" s="134"/>
      <c r="H53" s="136"/>
      <c r="I53" s="128"/>
      <c r="J53" s="128"/>
      <c r="K53" s="134"/>
      <c r="L53" s="136"/>
      <c r="M53" s="128"/>
      <c r="N53" s="128"/>
      <c r="O53" s="134"/>
      <c r="P53" s="136"/>
      <c r="Q53" s="89"/>
      <c r="R53" s="90"/>
      <c r="S53" s="17"/>
      <c r="T53" s="17"/>
      <c r="U53" s="17"/>
      <c r="V53" s="17"/>
      <c r="W53" s="19"/>
    </row>
    <row r="54" spans="1:23" ht="14.25" customHeight="1" x14ac:dyDescent="0.2">
      <c r="A54" s="146"/>
      <c r="B54" s="147"/>
      <c r="C54" s="147"/>
      <c r="D54" s="148" t="s">
        <v>47</v>
      </c>
      <c r="E54" s="95" t="e">
        <f t="shared" ref="E54:R54" si="18">AVERAGE(E44:E53)</f>
        <v>#DIV/0!</v>
      </c>
      <c r="F54" s="96" t="e">
        <f t="shared" si="18"/>
        <v>#DIV/0!</v>
      </c>
      <c r="G54" s="95" t="e">
        <f t="shared" si="18"/>
        <v>#DIV/0!</v>
      </c>
      <c r="H54" s="96" t="e">
        <f t="shared" si="18"/>
        <v>#DIV/0!</v>
      </c>
      <c r="I54" s="95" t="e">
        <f t="shared" si="18"/>
        <v>#DIV/0!</v>
      </c>
      <c r="J54" s="96" t="e">
        <f t="shared" si="18"/>
        <v>#DIV/0!</v>
      </c>
      <c r="K54" s="95" t="e">
        <f t="shared" si="18"/>
        <v>#DIV/0!</v>
      </c>
      <c r="L54" s="96" t="e">
        <f t="shared" si="18"/>
        <v>#DIV/0!</v>
      </c>
      <c r="M54" s="95" t="e">
        <f t="shared" si="18"/>
        <v>#DIV/0!</v>
      </c>
      <c r="N54" s="96" t="e">
        <f t="shared" si="18"/>
        <v>#DIV/0!</v>
      </c>
      <c r="O54" s="95" t="e">
        <f t="shared" si="18"/>
        <v>#DIV/0!</v>
      </c>
      <c r="P54" s="96" t="e">
        <f t="shared" si="18"/>
        <v>#DIV/0!</v>
      </c>
      <c r="Q54" s="95" t="e">
        <f t="shared" si="18"/>
        <v>#DIV/0!</v>
      </c>
      <c r="R54" s="96" t="e">
        <f t="shared" si="18"/>
        <v>#DIV/0!</v>
      </c>
      <c r="S54" s="17"/>
      <c r="T54" s="17"/>
      <c r="U54" s="17"/>
      <c r="V54" s="17"/>
      <c r="W54" s="19"/>
    </row>
    <row r="55" spans="1:23" ht="14.25" customHeight="1" x14ac:dyDescent="0.2">
      <c r="A55" s="149"/>
      <c r="B55" s="150"/>
      <c r="C55" s="150"/>
      <c r="D55" s="151" t="s">
        <v>48</v>
      </c>
      <c r="E55" s="101" t="e">
        <f t="shared" ref="E55:R55" si="19">STDEV(E44:E53)/SQRT(COUNT(E44:E53))</f>
        <v>#DIV/0!</v>
      </c>
      <c r="F55" s="102" t="e">
        <f t="shared" si="19"/>
        <v>#DIV/0!</v>
      </c>
      <c r="G55" s="101" t="e">
        <f t="shared" si="19"/>
        <v>#DIV/0!</v>
      </c>
      <c r="H55" s="102" t="e">
        <f t="shared" si="19"/>
        <v>#DIV/0!</v>
      </c>
      <c r="I55" s="101" t="e">
        <f t="shared" si="19"/>
        <v>#DIV/0!</v>
      </c>
      <c r="J55" s="102" t="e">
        <f t="shared" si="19"/>
        <v>#DIV/0!</v>
      </c>
      <c r="K55" s="101" t="e">
        <f t="shared" si="19"/>
        <v>#DIV/0!</v>
      </c>
      <c r="L55" s="102" t="e">
        <f t="shared" si="19"/>
        <v>#DIV/0!</v>
      </c>
      <c r="M55" s="101" t="e">
        <f t="shared" si="19"/>
        <v>#DIV/0!</v>
      </c>
      <c r="N55" s="102" t="e">
        <f t="shared" si="19"/>
        <v>#DIV/0!</v>
      </c>
      <c r="O55" s="101" t="e">
        <f t="shared" si="19"/>
        <v>#DIV/0!</v>
      </c>
      <c r="P55" s="102" t="e">
        <f t="shared" si="19"/>
        <v>#DIV/0!</v>
      </c>
      <c r="Q55" s="101" t="e">
        <f t="shared" si="19"/>
        <v>#DIV/0!</v>
      </c>
      <c r="R55" s="102" t="e">
        <f t="shared" si="19"/>
        <v>#DIV/0!</v>
      </c>
      <c r="S55" s="17"/>
      <c r="T55" s="17"/>
      <c r="U55" s="17"/>
      <c r="V55" s="17"/>
      <c r="W55" s="19"/>
    </row>
    <row r="56" spans="1:23" ht="14.25" customHeight="1" x14ac:dyDescent="0.2">
      <c r="A56" s="171"/>
      <c r="B56" s="152"/>
      <c r="C56" s="152" t="s">
        <v>50</v>
      </c>
      <c r="D56" s="152" t="s">
        <v>51</v>
      </c>
      <c r="E56" s="153">
        <f>TTEST(E8:E17,E20:E29,2,2)</f>
        <v>2.3096727049799589E-2</v>
      </c>
      <c r="F56" s="153">
        <f t="shared" ref="F56:R56" si="20">TTEST(F8:F17,F20:F29,2,2)</f>
        <v>1.1042911033714246E-2</v>
      </c>
      <c r="G56" s="153">
        <f t="shared" si="20"/>
        <v>1.4275104442786492E-2</v>
      </c>
      <c r="H56" s="153">
        <f t="shared" si="20"/>
        <v>7.6768825698166699E-3</v>
      </c>
      <c r="I56" s="153">
        <f t="shared" si="20"/>
        <v>2.3570507820983622E-2</v>
      </c>
      <c r="J56" s="153">
        <f t="shared" si="20"/>
        <v>6.7587753664921099E-3</v>
      </c>
      <c r="K56" s="153">
        <f t="shared" si="20"/>
        <v>2.2680051495844421E-2</v>
      </c>
      <c r="L56" s="153">
        <f t="shared" si="20"/>
        <v>1.5614510623395085E-2</v>
      </c>
      <c r="M56" s="153">
        <f t="shared" si="20"/>
        <v>2.4554362539179989E-2</v>
      </c>
      <c r="N56" s="153">
        <f t="shared" si="20"/>
        <v>1.2835665360109277E-2</v>
      </c>
      <c r="O56" s="153">
        <f t="shared" si="20"/>
        <v>1.4957656878259638E-2</v>
      </c>
      <c r="P56" s="153">
        <f t="shared" si="20"/>
        <v>5.6641990967695576E-3</v>
      </c>
      <c r="Q56" s="153">
        <f t="shared" si="20"/>
        <v>1.7976032690066812E-2</v>
      </c>
      <c r="R56" s="153">
        <f t="shared" si="20"/>
        <v>8.007421521576753E-3</v>
      </c>
      <c r="S56" s="17"/>
      <c r="T56" s="17"/>
      <c r="U56" s="17"/>
      <c r="V56" s="17"/>
      <c r="W56" s="19"/>
    </row>
    <row r="57" spans="1:23" ht="14.25" customHeight="1" x14ac:dyDescent="0.2">
      <c r="A57" s="171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21">TTEST(F8:F17,F32:F41,2,2)</f>
        <v>#DIV/0!</v>
      </c>
      <c r="G57" s="153" t="e">
        <f t="shared" si="21"/>
        <v>#DIV/0!</v>
      </c>
      <c r="H57" s="153" t="e">
        <f t="shared" si="21"/>
        <v>#DIV/0!</v>
      </c>
      <c r="I57" s="153" t="e">
        <f t="shared" si="21"/>
        <v>#DIV/0!</v>
      </c>
      <c r="J57" s="153" t="e">
        <f t="shared" si="21"/>
        <v>#DIV/0!</v>
      </c>
      <c r="K57" s="153" t="e">
        <f t="shared" si="21"/>
        <v>#DIV/0!</v>
      </c>
      <c r="L57" s="153" t="e">
        <f t="shared" si="21"/>
        <v>#DIV/0!</v>
      </c>
      <c r="M57" s="153" t="e">
        <f t="shared" si="21"/>
        <v>#DIV/0!</v>
      </c>
      <c r="N57" s="153" t="e">
        <f t="shared" si="21"/>
        <v>#DIV/0!</v>
      </c>
      <c r="O57" s="153" t="e">
        <f t="shared" si="21"/>
        <v>#DIV/0!</v>
      </c>
      <c r="P57" s="153" t="e">
        <f t="shared" si="21"/>
        <v>#DIV/0!</v>
      </c>
      <c r="Q57" s="153" t="e">
        <f t="shared" si="21"/>
        <v>#DIV/0!</v>
      </c>
      <c r="R57" s="153" t="e">
        <f t="shared" si="21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71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22">TTEST(F8:F17,F44:F53,2,2)</f>
        <v>#DIV/0!</v>
      </c>
      <c r="G58" s="153" t="e">
        <f t="shared" si="22"/>
        <v>#DIV/0!</v>
      </c>
      <c r="H58" s="153" t="e">
        <f t="shared" si="22"/>
        <v>#DIV/0!</v>
      </c>
      <c r="I58" s="153" t="e">
        <f t="shared" si="22"/>
        <v>#DIV/0!</v>
      </c>
      <c r="J58" s="153" t="e">
        <f t="shared" si="22"/>
        <v>#DIV/0!</v>
      </c>
      <c r="K58" s="153" t="e">
        <f t="shared" si="22"/>
        <v>#DIV/0!</v>
      </c>
      <c r="L58" s="153" t="e">
        <f t="shared" si="22"/>
        <v>#DIV/0!</v>
      </c>
      <c r="M58" s="153" t="e">
        <f t="shared" si="22"/>
        <v>#DIV/0!</v>
      </c>
      <c r="N58" s="153" t="e">
        <f t="shared" si="22"/>
        <v>#DIV/0!</v>
      </c>
      <c r="O58" s="153" t="e">
        <f t="shared" si="22"/>
        <v>#DIV/0!</v>
      </c>
      <c r="P58" s="153" t="e">
        <f t="shared" si="22"/>
        <v>#DIV/0!</v>
      </c>
      <c r="Q58" s="153" t="e">
        <f t="shared" si="22"/>
        <v>#DIV/0!</v>
      </c>
      <c r="R58" s="153" t="e">
        <f t="shared" si="22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71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23">TTEST(F20:F29,F32:F41,2,2)</f>
        <v>#DIV/0!</v>
      </c>
      <c r="G59" s="153" t="e">
        <f t="shared" si="23"/>
        <v>#DIV/0!</v>
      </c>
      <c r="H59" s="153" t="e">
        <f t="shared" si="23"/>
        <v>#DIV/0!</v>
      </c>
      <c r="I59" s="153" t="e">
        <f t="shared" si="23"/>
        <v>#DIV/0!</v>
      </c>
      <c r="J59" s="153" t="e">
        <f t="shared" si="23"/>
        <v>#DIV/0!</v>
      </c>
      <c r="K59" s="153" t="e">
        <f t="shared" si="23"/>
        <v>#DIV/0!</v>
      </c>
      <c r="L59" s="153" t="e">
        <f t="shared" si="23"/>
        <v>#DIV/0!</v>
      </c>
      <c r="M59" s="153" t="e">
        <f t="shared" si="23"/>
        <v>#DIV/0!</v>
      </c>
      <c r="N59" s="153" t="e">
        <f t="shared" si="23"/>
        <v>#DIV/0!</v>
      </c>
      <c r="O59" s="153" t="e">
        <f t="shared" si="23"/>
        <v>#DIV/0!</v>
      </c>
      <c r="P59" s="153" t="e">
        <f t="shared" si="23"/>
        <v>#DIV/0!</v>
      </c>
      <c r="Q59" s="153" t="e">
        <f t="shared" si="23"/>
        <v>#DIV/0!</v>
      </c>
      <c r="R59" s="153" t="e">
        <f t="shared" si="23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71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24">TTEST(F20:F29,F44:F53,2,2)</f>
        <v>#DIV/0!</v>
      </c>
      <c r="G60" s="153" t="e">
        <f t="shared" si="24"/>
        <v>#DIV/0!</v>
      </c>
      <c r="H60" s="153" t="e">
        <f t="shared" si="24"/>
        <v>#DIV/0!</v>
      </c>
      <c r="I60" s="153" t="e">
        <f t="shared" si="24"/>
        <v>#DIV/0!</v>
      </c>
      <c r="J60" s="153" t="e">
        <f t="shared" si="24"/>
        <v>#DIV/0!</v>
      </c>
      <c r="K60" s="153" t="e">
        <f t="shared" si="24"/>
        <v>#DIV/0!</v>
      </c>
      <c r="L60" s="153" t="e">
        <f t="shared" si="24"/>
        <v>#DIV/0!</v>
      </c>
      <c r="M60" s="153" t="e">
        <f t="shared" si="24"/>
        <v>#DIV/0!</v>
      </c>
      <c r="N60" s="153" t="e">
        <f t="shared" si="24"/>
        <v>#DIV/0!</v>
      </c>
      <c r="O60" s="153" t="e">
        <f t="shared" si="24"/>
        <v>#DIV/0!</v>
      </c>
      <c r="P60" s="153" t="e">
        <f t="shared" si="24"/>
        <v>#DIV/0!</v>
      </c>
      <c r="Q60" s="153" t="e">
        <f t="shared" si="24"/>
        <v>#DIV/0!</v>
      </c>
      <c r="R60" s="153" t="e">
        <f t="shared" si="24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71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25">TTEST(F32:F41,F44:F53,2,2)</f>
        <v>#DIV/0!</v>
      </c>
      <c r="G61" s="153" t="e">
        <f t="shared" si="25"/>
        <v>#DIV/0!</v>
      </c>
      <c r="H61" s="153" t="e">
        <f t="shared" si="25"/>
        <v>#DIV/0!</v>
      </c>
      <c r="I61" s="153" t="e">
        <f t="shared" si="25"/>
        <v>#DIV/0!</v>
      </c>
      <c r="J61" s="153" t="e">
        <f t="shared" si="25"/>
        <v>#DIV/0!</v>
      </c>
      <c r="K61" s="153" t="e">
        <f t="shared" si="25"/>
        <v>#DIV/0!</v>
      </c>
      <c r="L61" s="153" t="e">
        <f t="shared" si="25"/>
        <v>#DIV/0!</v>
      </c>
      <c r="M61" s="153" t="e">
        <f t="shared" si="25"/>
        <v>#DIV/0!</v>
      </c>
      <c r="N61" s="153" t="e">
        <f t="shared" si="25"/>
        <v>#DIV/0!</v>
      </c>
      <c r="O61" s="153" t="e">
        <f t="shared" si="25"/>
        <v>#DIV/0!</v>
      </c>
      <c r="P61" s="153" t="e">
        <f t="shared" si="25"/>
        <v>#DIV/0!</v>
      </c>
      <c r="Q61" s="153" t="e">
        <f t="shared" si="25"/>
        <v>#DIV/0!</v>
      </c>
      <c r="R61" s="153" t="e">
        <f t="shared" si="25"/>
        <v>#DIV/0!</v>
      </c>
      <c r="S61" s="17"/>
      <c r="T61" s="17"/>
      <c r="U61" s="17"/>
      <c r="V61" s="17"/>
      <c r="W61" s="19"/>
    </row>
    <row r="62" spans="1:23" ht="14.25" customHeight="1" x14ac:dyDescent="0.2">
      <c r="A62" s="57"/>
      <c r="B62" s="58"/>
      <c r="C62" s="59"/>
      <c r="D62" s="59"/>
      <c r="E62" s="60"/>
      <c r="F62" s="60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44"/>
      <c r="T62" s="44"/>
      <c r="U62" s="44"/>
      <c r="V62" s="44"/>
      <c r="W62" s="45"/>
    </row>
  </sheetData>
  <sheetProtection algorithmName="SHA-512" hashValue="bo+xzQcNkMnedWDi0X0C2H1w+A15dg1sGfFKYKtw0U/3oc3NKWPew01AKTLiSBbhWyf69C8+nr8KYsq6fI1GLA==" saltValue="1MMR3U+uMZ8TDwF5f9jTvg==" spinCount="100000" sheet="1" objects="1" scenarios="1"/>
  <mergeCells count="11">
    <mergeCell ref="Q5:R5"/>
    <mergeCell ref="O5:P5"/>
    <mergeCell ref="M5:N5"/>
    <mergeCell ref="K5:L5"/>
    <mergeCell ref="I5:J5"/>
    <mergeCell ref="A9:A10"/>
    <mergeCell ref="A21:A22"/>
    <mergeCell ref="A33:A34"/>
    <mergeCell ref="A45:A46"/>
    <mergeCell ref="G5:H5"/>
    <mergeCell ref="E5:F5"/>
  </mergeCells>
  <conditionalFormatting sqref="E56:R61">
    <cfRule type="cellIs" dxfId="2" priority="1" operator="lessThan">
      <formula>0.05</formula>
    </cfRule>
    <cfRule type="cellIs" dxfId="1" priority="2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zoomScaleNormal="100" workbookViewId="0">
      <selection activeCell="A5" sqref="A5"/>
    </sheetView>
  </sheetViews>
  <sheetFormatPr defaultColWidth="9" defaultRowHeight="14.25" x14ac:dyDescent="0.2"/>
  <cols>
    <col min="1" max="16384" width="9" style="2"/>
  </cols>
  <sheetData>
    <row r="1" spans="1:23" ht="14.25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25" customHeight="1" x14ac:dyDescent="0.2">
      <c r="A2" s="7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/>
    </row>
    <row r="3" spans="1:23" ht="14.25" customHeight="1" x14ac:dyDescent="0.2">
      <c r="A3" s="7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9"/>
    </row>
    <row r="4" spans="1:23" ht="14.25" customHeight="1" x14ac:dyDescent="0.3">
      <c r="A4" s="14"/>
      <c r="B4" s="15"/>
      <c r="C4" s="15"/>
      <c r="D4" s="16"/>
      <c r="E4" s="62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9"/>
    </row>
    <row r="5" spans="1:23" ht="14.25" customHeight="1" x14ac:dyDescent="0.2">
      <c r="A5" s="20"/>
      <c r="B5" s="21"/>
      <c r="C5" s="21"/>
      <c r="D5" s="22"/>
      <c r="E5" s="213" t="s">
        <v>32</v>
      </c>
      <c r="F5" s="214"/>
      <c r="G5" s="213" t="s">
        <v>33</v>
      </c>
      <c r="H5" s="214"/>
      <c r="I5" s="213" t="s">
        <v>34</v>
      </c>
      <c r="J5" s="214"/>
      <c r="K5" s="213" t="s">
        <v>35</v>
      </c>
      <c r="L5" s="214"/>
      <c r="M5" s="213" t="s">
        <v>36</v>
      </c>
      <c r="N5" s="214"/>
      <c r="O5" s="213" t="s">
        <v>37</v>
      </c>
      <c r="P5" s="214"/>
      <c r="Q5" s="213" t="s">
        <v>38</v>
      </c>
      <c r="R5" s="214"/>
      <c r="S5" s="17"/>
      <c r="T5" s="17"/>
      <c r="U5" s="17"/>
      <c r="V5" s="17"/>
      <c r="W5" s="19"/>
    </row>
    <row r="6" spans="1:23" ht="14.25" customHeight="1" x14ac:dyDescent="0.2">
      <c r="A6" s="23"/>
      <c r="B6" s="24"/>
      <c r="C6" s="24"/>
      <c r="D6" s="25"/>
      <c r="E6" s="26" t="s">
        <v>52</v>
      </c>
      <c r="F6" s="27" t="s">
        <v>53</v>
      </c>
      <c r="G6" s="26" t="s">
        <v>52</v>
      </c>
      <c r="H6" s="27" t="s">
        <v>53</v>
      </c>
      <c r="I6" s="26" t="s">
        <v>52</v>
      </c>
      <c r="J6" s="27" t="s">
        <v>53</v>
      </c>
      <c r="K6" s="26" t="s">
        <v>52</v>
      </c>
      <c r="L6" s="27" t="s">
        <v>53</v>
      </c>
      <c r="M6" s="26" t="s">
        <v>52</v>
      </c>
      <c r="N6" s="27" t="s">
        <v>53</v>
      </c>
      <c r="O6" s="26" t="s">
        <v>52</v>
      </c>
      <c r="P6" s="27" t="s">
        <v>53</v>
      </c>
      <c r="Q6" s="26" t="s">
        <v>52</v>
      </c>
      <c r="R6" s="28" t="s">
        <v>53</v>
      </c>
      <c r="S6" s="17"/>
      <c r="T6" s="17"/>
      <c r="U6" s="17"/>
      <c r="V6" s="17"/>
      <c r="W6" s="19"/>
    </row>
    <row r="7" spans="1:23" ht="14.25" customHeight="1" x14ac:dyDescent="0.25">
      <c r="A7" s="29"/>
      <c r="B7" s="30" t="s">
        <v>41</v>
      </c>
      <c r="C7" s="30" t="s">
        <v>42</v>
      </c>
      <c r="D7" s="31" t="s">
        <v>43</v>
      </c>
      <c r="E7" s="32" t="s">
        <v>54</v>
      </c>
      <c r="F7" s="33" t="s">
        <v>55</v>
      </c>
      <c r="G7" s="32" t="s">
        <v>54</v>
      </c>
      <c r="H7" s="33" t="s">
        <v>55</v>
      </c>
      <c r="I7" s="32" t="s">
        <v>54</v>
      </c>
      <c r="J7" s="33" t="s">
        <v>55</v>
      </c>
      <c r="K7" s="32" t="s">
        <v>54</v>
      </c>
      <c r="L7" s="33" t="s">
        <v>55</v>
      </c>
      <c r="M7" s="32" t="s">
        <v>54</v>
      </c>
      <c r="N7" s="33" t="s">
        <v>55</v>
      </c>
      <c r="O7" s="32" t="s">
        <v>54</v>
      </c>
      <c r="P7" s="33" t="s">
        <v>55</v>
      </c>
      <c r="Q7" s="32" t="s">
        <v>54</v>
      </c>
      <c r="R7" s="32" t="s">
        <v>55</v>
      </c>
      <c r="S7" s="17"/>
      <c r="T7" s="17"/>
      <c r="U7" s="17"/>
      <c r="V7" s="17"/>
      <c r="W7" s="19"/>
    </row>
    <row r="8" spans="1:23" ht="14.25" customHeight="1" x14ac:dyDescent="0.2">
      <c r="A8" s="34" t="s">
        <v>46</v>
      </c>
      <c r="B8" s="73">
        <v>1</v>
      </c>
      <c r="C8" s="74" t="s">
        <v>80</v>
      </c>
      <c r="D8" s="181">
        <v>497</v>
      </c>
      <c r="E8" s="75">
        <v>1988.95</v>
      </c>
      <c r="F8" s="174">
        <v>59669</v>
      </c>
      <c r="G8" s="77">
        <v>1239.3800000000001</v>
      </c>
      <c r="H8" s="174">
        <v>37181.699999999997</v>
      </c>
      <c r="I8" s="77">
        <v>1548.42</v>
      </c>
      <c r="J8" s="174">
        <v>46452.9</v>
      </c>
      <c r="K8" s="77">
        <v>1342.24</v>
      </c>
      <c r="L8" s="174">
        <v>40267.599999999999</v>
      </c>
      <c r="M8" s="77">
        <v>1178.28</v>
      </c>
      <c r="N8" s="174">
        <v>35348.9</v>
      </c>
      <c r="O8" s="77">
        <v>1341.18</v>
      </c>
      <c r="P8" s="174">
        <v>40235.699999999997</v>
      </c>
      <c r="Q8" s="77">
        <f>SUM(E8,G8,I8,K8,M8,O8)</f>
        <v>8638.4499999999989</v>
      </c>
      <c r="R8" s="174">
        <f>AVERAGE(F8,H8,J8,L8,N8,P8)</f>
        <v>43192.633333333331</v>
      </c>
      <c r="S8" s="17"/>
      <c r="T8" s="17"/>
      <c r="U8" s="17"/>
      <c r="V8" s="17"/>
      <c r="W8" s="19"/>
    </row>
    <row r="9" spans="1:23" ht="14.25" customHeight="1" x14ac:dyDescent="0.2">
      <c r="A9" s="206" t="s">
        <v>87</v>
      </c>
      <c r="B9" s="79">
        <v>2</v>
      </c>
      <c r="C9" s="74" t="s">
        <v>80</v>
      </c>
      <c r="D9" s="181">
        <v>498</v>
      </c>
      <c r="E9" s="80">
        <v>1791.83</v>
      </c>
      <c r="F9" s="86">
        <v>53755.5</v>
      </c>
      <c r="G9" s="82">
        <v>1339.13</v>
      </c>
      <c r="H9" s="86">
        <v>40174.300000000003</v>
      </c>
      <c r="I9" s="82">
        <v>1339.6</v>
      </c>
      <c r="J9" s="86">
        <v>40188.300000000003</v>
      </c>
      <c r="K9" s="82">
        <v>1544.84</v>
      </c>
      <c r="L9" s="86">
        <v>46345.599999999999</v>
      </c>
      <c r="M9" s="82">
        <v>1374.93</v>
      </c>
      <c r="N9" s="86">
        <v>41248.400000000001</v>
      </c>
      <c r="O9" s="82">
        <v>972.71</v>
      </c>
      <c r="P9" s="86">
        <v>29181.599999999999</v>
      </c>
      <c r="Q9" s="82">
        <f>SUM(E9,G9,I9,K9,M9,O9)</f>
        <v>8363.0400000000009</v>
      </c>
      <c r="R9" s="86">
        <f t="shared" ref="R9:R11" si="0">AVERAGE(F9,H9,J9,L9,N9,P9)</f>
        <v>41815.616666666669</v>
      </c>
      <c r="S9" s="17"/>
      <c r="T9" s="17"/>
      <c r="U9" s="17"/>
      <c r="V9" s="17"/>
      <c r="W9" s="19"/>
    </row>
    <row r="10" spans="1:23" ht="14.25" customHeight="1" x14ac:dyDescent="0.2">
      <c r="A10" s="206"/>
      <c r="B10" s="79">
        <v>3</v>
      </c>
      <c r="C10" s="74" t="s">
        <v>80</v>
      </c>
      <c r="D10" s="181">
        <v>499</v>
      </c>
      <c r="E10" s="80">
        <v>1525.1</v>
      </c>
      <c r="F10" s="86">
        <v>45753.3</v>
      </c>
      <c r="G10" s="82">
        <v>1350.84</v>
      </c>
      <c r="H10" s="86">
        <v>40525.5</v>
      </c>
      <c r="I10" s="82">
        <v>1044.76</v>
      </c>
      <c r="J10" s="86">
        <v>31343.1</v>
      </c>
      <c r="K10" s="82">
        <v>1012.5</v>
      </c>
      <c r="L10" s="86">
        <v>30375.4</v>
      </c>
      <c r="M10" s="82">
        <v>1268.2</v>
      </c>
      <c r="N10" s="86">
        <v>38046.300000000003</v>
      </c>
      <c r="O10" s="82">
        <v>1013.52</v>
      </c>
      <c r="P10" s="86">
        <v>30405.8</v>
      </c>
      <c r="Q10" s="82">
        <f>SUM(E10,G10,I10,K10,M10,O10)</f>
        <v>7214.92</v>
      </c>
      <c r="R10" s="86">
        <f t="shared" si="0"/>
        <v>36074.899999999994</v>
      </c>
      <c r="S10" s="17"/>
      <c r="T10" s="17"/>
      <c r="U10" s="17"/>
      <c r="V10" s="17"/>
      <c r="W10" s="19"/>
    </row>
    <row r="11" spans="1:23" ht="14.25" customHeight="1" x14ac:dyDescent="0.2">
      <c r="A11" s="35"/>
      <c r="B11" s="79">
        <v>4</v>
      </c>
      <c r="C11" s="74" t="s">
        <v>80</v>
      </c>
      <c r="D11" s="181">
        <v>500</v>
      </c>
      <c r="E11" s="80">
        <v>1554.93</v>
      </c>
      <c r="F11" s="86">
        <v>46648.5</v>
      </c>
      <c r="G11" s="80">
        <v>788.63900000000001</v>
      </c>
      <c r="H11" s="86">
        <v>23659.4</v>
      </c>
      <c r="I11" s="82">
        <v>934.63800000000003</v>
      </c>
      <c r="J11" s="82">
        <v>28039.4</v>
      </c>
      <c r="K11" s="80">
        <v>876.78399999999999</v>
      </c>
      <c r="L11" s="86">
        <v>26303.8</v>
      </c>
      <c r="M11" s="82">
        <v>1008.35</v>
      </c>
      <c r="N11" s="82">
        <v>30250.9</v>
      </c>
      <c r="O11" s="80">
        <v>291.858</v>
      </c>
      <c r="P11" s="82">
        <v>8755.83</v>
      </c>
      <c r="Q11" s="80">
        <f>SUM(E11,G11,I11,K11,M11,O11)</f>
        <v>5455.1990000000005</v>
      </c>
      <c r="R11" s="86">
        <f t="shared" si="0"/>
        <v>27276.304999999997</v>
      </c>
      <c r="S11" s="17"/>
      <c r="T11" s="17"/>
      <c r="U11" s="17"/>
      <c r="V11" s="17"/>
      <c r="W11" s="19"/>
    </row>
    <row r="12" spans="1:23" ht="14.25" customHeight="1" x14ac:dyDescent="0.2">
      <c r="A12" s="35"/>
      <c r="B12" s="79">
        <v>5</v>
      </c>
      <c r="C12" s="74" t="s">
        <v>80</v>
      </c>
      <c r="D12" s="181">
        <v>585</v>
      </c>
      <c r="E12" s="80">
        <v>1358.88</v>
      </c>
      <c r="F12" s="86">
        <v>40766.800000000003</v>
      </c>
      <c r="G12" s="80">
        <v>1130.9100000000001</v>
      </c>
      <c r="H12" s="86">
        <v>33927.699999999997</v>
      </c>
      <c r="I12" s="82">
        <v>1167.77</v>
      </c>
      <c r="J12" s="82">
        <v>35033.300000000003</v>
      </c>
      <c r="K12" s="80">
        <v>1092.94</v>
      </c>
      <c r="L12" s="86">
        <v>32788.400000000001</v>
      </c>
      <c r="M12" s="82">
        <v>1118.67</v>
      </c>
      <c r="N12" s="82">
        <v>33560.400000000001</v>
      </c>
      <c r="O12" s="80">
        <v>909.74099999999999</v>
      </c>
      <c r="P12" s="86">
        <v>27292.5</v>
      </c>
      <c r="Q12" s="82">
        <f t="shared" ref="Q12:Q15" si="1">SUM(E12,G12,I12,K12,M12,O12)</f>
        <v>6778.9110000000001</v>
      </c>
      <c r="R12" s="86">
        <f t="shared" ref="R12:R15" si="2">AVERAGE(F12,H12,J12,L12,N12,P12)</f>
        <v>33894.85</v>
      </c>
      <c r="S12" s="17"/>
      <c r="T12" s="17"/>
      <c r="U12" s="17"/>
      <c r="V12" s="17"/>
      <c r="W12" s="19"/>
    </row>
    <row r="13" spans="1:23" ht="14.25" customHeight="1" x14ac:dyDescent="0.2">
      <c r="A13" s="35"/>
      <c r="B13" s="79">
        <v>6</v>
      </c>
      <c r="C13" s="74" t="s">
        <v>80</v>
      </c>
      <c r="D13" s="181">
        <v>586</v>
      </c>
      <c r="E13" s="80">
        <v>2124.81</v>
      </c>
      <c r="F13" s="86">
        <v>63744.800000000003</v>
      </c>
      <c r="G13" s="80">
        <v>1517.89</v>
      </c>
      <c r="H13" s="86">
        <v>45537.1</v>
      </c>
      <c r="I13" s="82">
        <v>1361.9</v>
      </c>
      <c r="J13" s="82">
        <v>40857.4</v>
      </c>
      <c r="K13" s="80">
        <v>1138.8</v>
      </c>
      <c r="L13" s="86">
        <v>34164.5</v>
      </c>
      <c r="M13" s="82">
        <v>1167.06</v>
      </c>
      <c r="N13" s="82">
        <v>35012.1</v>
      </c>
      <c r="O13" s="80">
        <v>991.00199999999995</v>
      </c>
      <c r="P13" s="86">
        <v>29730.3</v>
      </c>
      <c r="Q13" s="82">
        <f t="shared" si="1"/>
        <v>8301.4620000000014</v>
      </c>
      <c r="R13" s="86">
        <f t="shared" si="2"/>
        <v>41507.699999999997</v>
      </c>
      <c r="S13" s="17"/>
      <c r="T13" s="17"/>
      <c r="U13" s="17"/>
      <c r="V13" s="17"/>
      <c r="W13" s="19"/>
    </row>
    <row r="14" spans="1:23" ht="14.25" customHeight="1" x14ac:dyDescent="0.2">
      <c r="A14" s="35"/>
      <c r="B14" s="79">
        <v>7</v>
      </c>
      <c r="C14" s="74" t="s">
        <v>80</v>
      </c>
      <c r="D14" s="191">
        <v>587</v>
      </c>
      <c r="E14" s="80">
        <v>1233.95</v>
      </c>
      <c r="F14" s="86">
        <v>37018.800000000003</v>
      </c>
      <c r="G14" s="80">
        <v>765.29700000000003</v>
      </c>
      <c r="H14" s="86">
        <v>22959.1</v>
      </c>
      <c r="I14" s="82">
        <v>862.61599999999999</v>
      </c>
      <c r="J14" s="82">
        <v>25878.7</v>
      </c>
      <c r="K14" s="80">
        <v>814.86500000000001</v>
      </c>
      <c r="L14" s="86">
        <v>24446.2</v>
      </c>
      <c r="M14" s="82">
        <v>522.529</v>
      </c>
      <c r="N14" s="82">
        <v>15676</v>
      </c>
      <c r="O14" s="80">
        <v>1112.1500000000001</v>
      </c>
      <c r="P14" s="86">
        <v>33364.9</v>
      </c>
      <c r="Q14" s="82">
        <f t="shared" si="1"/>
        <v>5311.4069999999992</v>
      </c>
      <c r="R14" s="86">
        <f t="shared" si="2"/>
        <v>26557.283333333336</v>
      </c>
      <c r="S14" s="17"/>
      <c r="T14" s="17"/>
      <c r="U14" s="17"/>
      <c r="V14" s="17"/>
      <c r="W14" s="19"/>
    </row>
    <row r="15" spans="1:23" ht="14.25" customHeight="1" x14ac:dyDescent="0.2">
      <c r="A15" s="35"/>
      <c r="B15" s="79">
        <v>8</v>
      </c>
      <c r="C15" s="74" t="s">
        <v>80</v>
      </c>
      <c r="D15" s="191">
        <v>588</v>
      </c>
      <c r="E15" s="80">
        <v>1464.29</v>
      </c>
      <c r="F15" s="86">
        <v>43929.2</v>
      </c>
      <c r="G15" s="80">
        <v>1071.21</v>
      </c>
      <c r="H15" s="86">
        <v>32136.5</v>
      </c>
      <c r="I15" s="82">
        <v>1170.95</v>
      </c>
      <c r="J15" s="82">
        <v>35128.699999999997</v>
      </c>
      <c r="K15" s="80">
        <v>971.01499999999999</v>
      </c>
      <c r="L15" s="86">
        <v>29130.7</v>
      </c>
      <c r="M15" s="82">
        <v>1177.94</v>
      </c>
      <c r="N15" s="82">
        <v>35338.699999999997</v>
      </c>
      <c r="O15" s="80">
        <v>937.00900000000001</v>
      </c>
      <c r="P15" s="82">
        <v>28110.6</v>
      </c>
      <c r="Q15" s="80">
        <f t="shared" si="1"/>
        <v>6792.4140000000007</v>
      </c>
      <c r="R15" s="86">
        <f t="shared" si="2"/>
        <v>33962.400000000001</v>
      </c>
      <c r="S15" s="17"/>
      <c r="T15" s="17"/>
      <c r="U15" s="17"/>
      <c r="V15" s="17"/>
      <c r="W15" s="19"/>
    </row>
    <row r="16" spans="1:23" ht="14.25" customHeight="1" x14ac:dyDescent="0.2">
      <c r="A16" s="35"/>
      <c r="B16" s="79">
        <v>9</v>
      </c>
      <c r="C16" s="84"/>
      <c r="D16" s="85"/>
      <c r="E16" s="80"/>
      <c r="F16" s="86"/>
      <c r="G16" s="80"/>
      <c r="H16" s="86"/>
      <c r="I16" s="82"/>
      <c r="J16" s="82"/>
      <c r="K16" s="80"/>
      <c r="L16" s="86"/>
      <c r="M16" s="82"/>
      <c r="N16" s="82"/>
      <c r="O16" s="80"/>
      <c r="P16" s="82"/>
      <c r="Q16" s="80"/>
      <c r="R16" s="86"/>
      <c r="S16" s="17"/>
      <c r="T16" s="17"/>
      <c r="U16" s="17"/>
      <c r="V16" s="17"/>
      <c r="W16" s="19"/>
    </row>
    <row r="17" spans="1:23" ht="14.25" customHeight="1" x14ac:dyDescent="0.2">
      <c r="A17" s="35"/>
      <c r="B17" s="192">
        <v>10</v>
      </c>
      <c r="C17" s="193"/>
      <c r="D17" s="194"/>
      <c r="E17" s="80"/>
      <c r="F17" s="86"/>
      <c r="G17" s="89"/>
      <c r="H17" s="90"/>
      <c r="I17" s="82"/>
      <c r="J17" s="82"/>
      <c r="K17" s="89"/>
      <c r="L17" s="90"/>
      <c r="M17" s="82"/>
      <c r="N17" s="82"/>
      <c r="O17" s="89"/>
      <c r="P17" s="175"/>
      <c r="Q17" s="89"/>
      <c r="R17" s="90"/>
      <c r="S17" s="17"/>
      <c r="T17" s="17"/>
      <c r="U17" s="17"/>
      <c r="V17" s="17"/>
      <c r="W17" s="19"/>
    </row>
    <row r="18" spans="1:23" ht="14.25" customHeight="1" x14ac:dyDescent="0.2">
      <c r="A18" s="93"/>
      <c r="B18" s="94"/>
      <c r="C18" s="94"/>
      <c r="D18" s="73" t="s">
        <v>47</v>
      </c>
      <c r="E18" s="95">
        <f t="shared" ref="E18:P18" si="3">AVERAGE(E8:E17)</f>
        <v>1630.3424999999997</v>
      </c>
      <c r="F18" s="96">
        <f t="shared" si="3"/>
        <v>48910.737499999996</v>
      </c>
      <c r="G18" s="95">
        <f t="shared" si="3"/>
        <v>1150.4120000000003</v>
      </c>
      <c r="H18" s="96">
        <f t="shared" si="3"/>
        <v>34512.662499999999</v>
      </c>
      <c r="I18" s="95">
        <f t="shared" si="3"/>
        <v>1178.8317500000001</v>
      </c>
      <c r="J18" s="96">
        <f t="shared" si="3"/>
        <v>35365.224999999999</v>
      </c>
      <c r="K18" s="95">
        <f t="shared" si="3"/>
        <v>1099.248</v>
      </c>
      <c r="L18" s="96">
        <f t="shared" si="3"/>
        <v>32977.775000000001</v>
      </c>
      <c r="M18" s="95">
        <f t="shared" si="3"/>
        <v>1101.9948750000001</v>
      </c>
      <c r="N18" s="96">
        <f t="shared" si="3"/>
        <v>33060.212500000001</v>
      </c>
      <c r="O18" s="95">
        <f t="shared" si="3"/>
        <v>946.14625000000001</v>
      </c>
      <c r="P18" s="96">
        <f t="shared" si="3"/>
        <v>28384.653749999998</v>
      </c>
      <c r="Q18" s="95">
        <f t="shared" ref="Q18:R18" si="4">AVERAGE(Q8:Q17)</f>
        <v>7106.975375</v>
      </c>
      <c r="R18" s="96">
        <f t="shared" si="4"/>
        <v>35535.211041666669</v>
      </c>
      <c r="S18" s="17"/>
      <c r="T18" s="17"/>
      <c r="U18" s="17"/>
      <c r="V18" s="17"/>
      <c r="W18" s="19"/>
    </row>
    <row r="19" spans="1:23" ht="14.25" customHeight="1" x14ac:dyDescent="0.2">
      <c r="A19" s="93"/>
      <c r="B19" s="94"/>
      <c r="C19" s="94"/>
      <c r="D19" s="73" t="s">
        <v>48</v>
      </c>
      <c r="E19" s="101">
        <f t="shared" ref="E19:P19" si="5">STDEV(E8:E17)/SQRT(COUNT(E8:E17))</f>
        <v>109.73434032031997</v>
      </c>
      <c r="F19" s="102">
        <f t="shared" si="5"/>
        <v>3292.0523543147333</v>
      </c>
      <c r="G19" s="101">
        <f t="shared" si="5"/>
        <v>94.923635075968392</v>
      </c>
      <c r="H19" s="102">
        <f t="shared" si="5"/>
        <v>2847.7333719705657</v>
      </c>
      <c r="I19" s="101">
        <f t="shared" si="5"/>
        <v>81.693962383517729</v>
      </c>
      <c r="J19" s="102">
        <f t="shared" si="5"/>
        <v>2450.8309519972809</v>
      </c>
      <c r="K19" s="101">
        <f t="shared" si="5"/>
        <v>85.933356016865758</v>
      </c>
      <c r="L19" s="102">
        <f t="shared" si="5"/>
        <v>2578.0201735571841</v>
      </c>
      <c r="M19" s="101">
        <f t="shared" si="5"/>
        <v>90.904816933002863</v>
      </c>
      <c r="N19" s="102">
        <f t="shared" si="5"/>
        <v>2727.1787232830361</v>
      </c>
      <c r="O19" s="101">
        <f t="shared" si="5"/>
        <v>105.25205695457765</v>
      </c>
      <c r="P19" s="102">
        <f t="shared" si="5"/>
        <v>3157.5863757266857</v>
      </c>
      <c r="Q19" s="101">
        <f t="shared" ref="Q19:R19" si="6">STDEV(Q8:Q17)/SQRT(COUNT(Q8:Q17))</f>
        <v>453.56857419129602</v>
      </c>
      <c r="R19" s="102">
        <f t="shared" si="6"/>
        <v>2267.8605925186553</v>
      </c>
      <c r="S19" s="17"/>
      <c r="T19" s="17"/>
      <c r="U19" s="17"/>
      <c r="V19" s="17"/>
      <c r="W19" s="19"/>
    </row>
    <row r="20" spans="1:23" ht="14.25" customHeight="1" x14ac:dyDescent="0.2">
      <c r="A20" s="36" t="s">
        <v>49</v>
      </c>
      <c r="B20" s="37">
        <v>1</v>
      </c>
      <c r="C20" s="104" t="s">
        <v>80</v>
      </c>
      <c r="D20" s="182">
        <v>473</v>
      </c>
      <c r="E20" s="82">
        <v>1359.86</v>
      </c>
      <c r="F20" s="86">
        <v>40796.1</v>
      </c>
      <c r="G20" s="75">
        <v>1367.52</v>
      </c>
      <c r="H20" s="174">
        <v>41026.199999999997</v>
      </c>
      <c r="I20" s="77">
        <v>1147.5</v>
      </c>
      <c r="J20" s="77">
        <v>34425.4</v>
      </c>
      <c r="K20" s="75">
        <v>1144.8900000000001</v>
      </c>
      <c r="L20" s="174">
        <v>34347</v>
      </c>
      <c r="M20" s="77">
        <v>1242.8699999999999</v>
      </c>
      <c r="N20" s="77">
        <v>37286.5</v>
      </c>
      <c r="O20" s="75">
        <v>1122.75</v>
      </c>
      <c r="P20" s="174">
        <v>33682.800000000003</v>
      </c>
      <c r="Q20" s="80">
        <f t="shared" ref="Q20" si="7">SUM(E20,G20,I20,K20,M20,O20)</f>
        <v>7385.39</v>
      </c>
      <c r="R20" s="86">
        <f t="shared" ref="R20" si="8">AVERAGE(F20,H20,J20,L20,N20,P20)</f>
        <v>36927.333333333336</v>
      </c>
      <c r="S20" s="17"/>
      <c r="T20" s="17"/>
      <c r="U20" s="17"/>
      <c r="V20" s="17"/>
      <c r="W20" s="19"/>
    </row>
    <row r="21" spans="1:23" ht="14.25" customHeight="1" x14ac:dyDescent="0.2">
      <c r="A21" s="207" t="s">
        <v>88</v>
      </c>
      <c r="B21" s="39">
        <v>2</v>
      </c>
      <c r="C21" s="107" t="s">
        <v>80</v>
      </c>
      <c r="D21" s="183">
        <v>474</v>
      </c>
      <c r="E21" s="82">
        <v>1970.94</v>
      </c>
      <c r="F21" s="86">
        <v>59128.800000000003</v>
      </c>
      <c r="G21" s="80">
        <v>1558.07</v>
      </c>
      <c r="H21" s="86">
        <v>46742.5</v>
      </c>
      <c r="I21" s="82">
        <v>1398.37</v>
      </c>
      <c r="J21" s="82">
        <v>41951.6</v>
      </c>
      <c r="K21" s="80">
        <v>935.08600000000001</v>
      </c>
      <c r="L21" s="86">
        <v>28052.9</v>
      </c>
      <c r="M21" s="82">
        <v>1230.95</v>
      </c>
      <c r="N21" s="82">
        <v>36928.9</v>
      </c>
      <c r="O21" s="80">
        <v>999.44899999999996</v>
      </c>
      <c r="P21" s="86">
        <v>29983.8</v>
      </c>
      <c r="Q21" s="80">
        <f t="shared" ref="Q21" si="9">SUM(E21,G21,I21,K21,M21,O21)</f>
        <v>8092.8649999999998</v>
      </c>
      <c r="R21" s="86">
        <f t="shared" ref="R21" si="10">AVERAGE(F21,H21,J21,L21,N21,P21)</f>
        <v>40464.749999999993</v>
      </c>
      <c r="S21" s="17"/>
      <c r="T21" s="17"/>
      <c r="U21" s="17"/>
      <c r="V21" s="17"/>
      <c r="W21" s="19"/>
    </row>
    <row r="22" spans="1:23" ht="14.25" customHeight="1" x14ac:dyDescent="0.2">
      <c r="A22" s="207"/>
      <c r="B22" s="39">
        <v>3</v>
      </c>
      <c r="C22" s="107" t="s">
        <v>80</v>
      </c>
      <c r="D22" s="183">
        <v>475</v>
      </c>
      <c r="E22" s="82">
        <v>1552.5</v>
      </c>
      <c r="F22" s="86">
        <v>46575.5</v>
      </c>
      <c r="G22" s="80">
        <v>1368.37</v>
      </c>
      <c r="H22" s="86">
        <v>41051.4</v>
      </c>
      <c r="I22" s="82">
        <v>1198.81</v>
      </c>
      <c r="J22" s="82">
        <v>35964.6</v>
      </c>
      <c r="K22" s="80">
        <v>1226.72</v>
      </c>
      <c r="L22" s="86">
        <v>36801.9</v>
      </c>
      <c r="M22" s="82">
        <v>979.67499999999995</v>
      </c>
      <c r="N22" s="82">
        <v>29390.5</v>
      </c>
      <c r="O22" s="80">
        <v>1107.05</v>
      </c>
      <c r="P22" s="86">
        <v>33211.800000000003</v>
      </c>
      <c r="Q22" s="80">
        <f t="shared" ref="Q22:Q23" si="11">SUM(E22,G22,I22,K22,M22,O22)</f>
        <v>7433.1250000000009</v>
      </c>
      <c r="R22" s="86">
        <f t="shared" ref="R22:R23" si="12">AVERAGE(F22,H22,J22,L22,N22,P22)</f>
        <v>37165.950000000004</v>
      </c>
      <c r="S22" s="17"/>
      <c r="T22" s="17"/>
      <c r="U22" s="17"/>
      <c r="V22" s="17"/>
      <c r="W22" s="19"/>
    </row>
    <row r="23" spans="1:23" ht="14.25" customHeight="1" x14ac:dyDescent="0.2">
      <c r="A23" s="38"/>
      <c r="B23" s="39">
        <v>4</v>
      </c>
      <c r="C23" s="107" t="s">
        <v>80</v>
      </c>
      <c r="D23" s="183">
        <v>496</v>
      </c>
      <c r="E23" s="109">
        <v>2020.46</v>
      </c>
      <c r="F23" s="115">
        <v>60614.5</v>
      </c>
      <c r="G23" s="111">
        <v>1189.0999999999999</v>
      </c>
      <c r="H23" s="115">
        <v>35673.5</v>
      </c>
      <c r="I23" s="109">
        <v>859.68600000000004</v>
      </c>
      <c r="J23" s="109">
        <v>25790.799999999999</v>
      </c>
      <c r="K23" s="111">
        <v>982.72</v>
      </c>
      <c r="L23" s="115">
        <v>29481.9</v>
      </c>
      <c r="M23" s="109">
        <v>960.67499999999995</v>
      </c>
      <c r="N23" s="109">
        <v>28820.5</v>
      </c>
      <c r="O23" s="111">
        <v>1151.01</v>
      </c>
      <c r="P23" s="115">
        <v>34530.6</v>
      </c>
      <c r="Q23" s="80">
        <f t="shared" si="11"/>
        <v>7163.6510000000007</v>
      </c>
      <c r="R23" s="86">
        <f t="shared" si="12"/>
        <v>35818.633333333339</v>
      </c>
      <c r="S23" s="17"/>
      <c r="T23" s="17"/>
      <c r="U23" s="17"/>
      <c r="V23" s="17"/>
      <c r="W23" s="19"/>
    </row>
    <row r="24" spans="1:23" ht="14.25" customHeight="1" x14ac:dyDescent="0.2">
      <c r="A24" s="38"/>
      <c r="B24" s="39">
        <v>5</v>
      </c>
      <c r="C24" s="107" t="s">
        <v>80</v>
      </c>
      <c r="D24" s="183">
        <v>581</v>
      </c>
      <c r="E24" s="109">
        <v>14236</v>
      </c>
      <c r="F24" s="115">
        <v>427083</v>
      </c>
      <c r="G24" s="111">
        <v>18405.099999999999</v>
      </c>
      <c r="H24" s="115">
        <v>552157</v>
      </c>
      <c r="I24" s="109">
        <v>17093.099999999999</v>
      </c>
      <c r="J24" s="109">
        <v>512797</v>
      </c>
      <c r="K24" s="111">
        <v>16770.099999999999</v>
      </c>
      <c r="L24" s="115">
        <v>503107</v>
      </c>
      <c r="M24" s="109">
        <v>17968.599999999999</v>
      </c>
      <c r="N24" s="109">
        <v>539065</v>
      </c>
      <c r="O24" s="111">
        <v>12580.2</v>
      </c>
      <c r="P24" s="115">
        <v>377411</v>
      </c>
      <c r="Q24" s="80">
        <f t="shared" ref="Q24:Q25" si="13">SUM(E24,G24,I24,K24,M24,O24)</f>
        <v>97053.099999999991</v>
      </c>
      <c r="R24" s="86">
        <f t="shared" ref="R24:R25" si="14">AVERAGE(F24,H24,J24,L24,N24,P24)</f>
        <v>485270</v>
      </c>
      <c r="S24" s="17"/>
      <c r="T24" s="17"/>
      <c r="U24" s="17"/>
      <c r="V24" s="17"/>
      <c r="W24" s="19"/>
    </row>
    <row r="25" spans="1:23" ht="14.25" customHeight="1" x14ac:dyDescent="0.2">
      <c r="A25" s="38"/>
      <c r="B25" s="39">
        <v>6</v>
      </c>
      <c r="C25" s="107" t="s">
        <v>80</v>
      </c>
      <c r="D25" s="183">
        <v>582</v>
      </c>
      <c r="E25" s="109">
        <v>23507.200000000001</v>
      </c>
      <c r="F25" s="115">
        <v>705224</v>
      </c>
      <c r="G25" s="111">
        <v>21170.9</v>
      </c>
      <c r="H25" s="115">
        <v>635133</v>
      </c>
      <c r="I25" s="109">
        <v>12738.1</v>
      </c>
      <c r="J25" s="109">
        <v>382147</v>
      </c>
      <c r="K25" s="111">
        <v>16910.3</v>
      </c>
      <c r="L25" s="115">
        <v>507315</v>
      </c>
      <c r="M25" s="109">
        <v>16113</v>
      </c>
      <c r="N25" s="109">
        <v>483394</v>
      </c>
      <c r="O25" s="111">
        <v>14198.8</v>
      </c>
      <c r="P25" s="115">
        <v>425969</v>
      </c>
      <c r="Q25" s="80">
        <f t="shared" si="13"/>
        <v>104638.3</v>
      </c>
      <c r="R25" s="86">
        <f t="shared" si="14"/>
        <v>523197</v>
      </c>
      <c r="S25" s="17"/>
      <c r="T25" s="17"/>
      <c r="U25" s="17"/>
      <c r="V25" s="17"/>
      <c r="W25" s="19"/>
    </row>
    <row r="26" spans="1:23" ht="14.25" customHeight="1" x14ac:dyDescent="0.2">
      <c r="A26" s="38"/>
      <c r="B26" s="39">
        <v>7</v>
      </c>
      <c r="C26" s="107" t="s">
        <v>80</v>
      </c>
      <c r="D26" s="190">
        <v>583</v>
      </c>
      <c r="E26" s="111">
        <v>16727.099999999999</v>
      </c>
      <c r="F26" s="115">
        <v>501817</v>
      </c>
      <c r="G26" s="111">
        <v>19036.5</v>
      </c>
      <c r="H26" s="115">
        <v>571099</v>
      </c>
      <c r="I26" s="109">
        <v>16419.099999999999</v>
      </c>
      <c r="J26" s="109">
        <v>492578</v>
      </c>
      <c r="K26" s="111">
        <v>14829.8</v>
      </c>
      <c r="L26" s="115">
        <v>444898</v>
      </c>
      <c r="M26" s="109">
        <v>9445.26</v>
      </c>
      <c r="N26" s="109">
        <v>283361</v>
      </c>
      <c r="O26" s="111">
        <v>16272.5</v>
      </c>
      <c r="P26" s="115">
        <v>488181</v>
      </c>
      <c r="Q26" s="80">
        <f t="shared" ref="Q26:Q27" si="15">SUM(E26,G26,I26,K26,M26,O26)</f>
        <v>92730.26</v>
      </c>
      <c r="R26" s="86">
        <f t="shared" ref="R26:R27" si="16">AVERAGE(F26,H26,J26,L26,N26,P26)</f>
        <v>463655.66666666669</v>
      </c>
      <c r="S26" s="17"/>
      <c r="T26" s="17"/>
      <c r="U26" s="17"/>
      <c r="V26" s="17"/>
      <c r="W26" s="19"/>
    </row>
    <row r="27" spans="1:23" ht="14.25" customHeight="1" x14ac:dyDescent="0.2">
      <c r="A27" s="38"/>
      <c r="B27" s="39">
        <v>8</v>
      </c>
      <c r="C27" s="107" t="s">
        <v>80</v>
      </c>
      <c r="D27" s="190">
        <v>584</v>
      </c>
      <c r="E27" s="111">
        <v>27788.2</v>
      </c>
      <c r="F27" s="115">
        <v>833655</v>
      </c>
      <c r="G27" s="111">
        <v>16998.5</v>
      </c>
      <c r="H27" s="115">
        <v>509960</v>
      </c>
      <c r="I27" s="109">
        <v>11972.9</v>
      </c>
      <c r="J27" s="109">
        <v>359191</v>
      </c>
      <c r="K27" s="111">
        <v>10623.3</v>
      </c>
      <c r="L27" s="115">
        <v>318702</v>
      </c>
      <c r="M27" s="109">
        <v>15910.8</v>
      </c>
      <c r="N27" s="109">
        <v>477330</v>
      </c>
      <c r="O27" s="111">
        <v>11472.2</v>
      </c>
      <c r="P27" s="115">
        <v>344171</v>
      </c>
      <c r="Q27" s="80">
        <f t="shared" si="15"/>
        <v>94765.9</v>
      </c>
      <c r="R27" s="86">
        <f t="shared" si="16"/>
        <v>473834.83333333331</v>
      </c>
      <c r="S27" s="17"/>
      <c r="T27" s="17"/>
      <c r="U27" s="17"/>
      <c r="V27" s="17"/>
      <c r="W27" s="19"/>
    </row>
    <row r="28" spans="1:23" ht="14.25" customHeight="1" x14ac:dyDescent="0.2">
      <c r="A28" s="38"/>
      <c r="B28" s="39">
        <v>9</v>
      </c>
      <c r="C28" s="114"/>
      <c r="D28" s="113"/>
      <c r="E28" s="111"/>
      <c r="F28" s="115"/>
      <c r="G28" s="111"/>
      <c r="H28" s="115"/>
      <c r="I28" s="109"/>
      <c r="J28" s="109"/>
      <c r="K28" s="111"/>
      <c r="L28" s="115"/>
      <c r="M28" s="109"/>
      <c r="N28" s="109"/>
      <c r="O28" s="111"/>
      <c r="P28" s="115"/>
      <c r="Q28" s="80"/>
      <c r="R28" s="86"/>
      <c r="S28" s="17"/>
      <c r="T28" s="17"/>
      <c r="U28" s="17"/>
      <c r="V28" s="17"/>
      <c r="W28" s="19"/>
    </row>
    <row r="29" spans="1:23" ht="14.25" customHeight="1" x14ac:dyDescent="0.2">
      <c r="A29" s="38"/>
      <c r="B29" s="195">
        <v>10</v>
      </c>
      <c r="C29" s="196"/>
      <c r="D29" s="197"/>
      <c r="E29" s="116"/>
      <c r="F29" s="117"/>
      <c r="G29" s="111"/>
      <c r="H29" s="115"/>
      <c r="I29" s="109"/>
      <c r="J29" s="109"/>
      <c r="K29" s="111"/>
      <c r="L29" s="115"/>
      <c r="M29" s="109"/>
      <c r="N29" s="109"/>
      <c r="O29" s="111"/>
      <c r="P29" s="115"/>
      <c r="Q29" s="89"/>
      <c r="R29" s="90"/>
      <c r="S29" s="17"/>
      <c r="T29" s="17"/>
      <c r="U29" s="17"/>
      <c r="V29" s="17"/>
      <c r="W29" s="19"/>
    </row>
    <row r="30" spans="1:23" ht="14.25" customHeight="1" x14ac:dyDescent="0.2">
      <c r="A30" s="118"/>
      <c r="B30" s="119"/>
      <c r="C30" s="119"/>
      <c r="D30" s="120" t="s">
        <v>47</v>
      </c>
      <c r="E30" s="95">
        <f t="shared" ref="E30:R30" si="17">AVERAGE(E20:E29)</f>
        <v>11145.282500000001</v>
      </c>
      <c r="F30" s="96">
        <f t="shared" si="17"/>
        <v>334361.73749999999</v>
      </c>
      <c r="G30" s="95">
        <f t="shared" si="17"/>
        <v>10136.7575</v>
      </c>
      <c r="H30" s="96">
        <f t="shared" si="17"/>
        <v>304105.32500000001</v>
      </c>
      <c r="I30" s="95">
        <f t="shared" si="17"/>
        <v>7853.4457499999999</v>
      </c>
      <c r="J30" s="96">
        <f t="shared" si="17"/>
        <v>235605.67499999999</v>
      </c>
      <c r="K30" s="95">
        <f t="shared" si="17"/>
        <v>7927.8644999999997</v>
      </c>
      <c r="L30" s="96">
        <f t="shared" si="17"/>
        <v>237838.21249999999</v>
      </c>
      <c r="M30" s="95">
        <f t="shared" si="17"/>
        <v>7981.4787500000002</v>
      </c>
      <c r="N30" s="96">
        <f t="shared" si="17"/>
        <v>239447.05</v>
      </c>
      <c r="O30" s="95">
        <f t="shared" si="17"/>
        <v>7362.9948750000003</v>
      </c>
      <c r="P30" s="96">
        <f t="shared" si="17"/>
        <v>220892.625</v>
      </c>
      <c r="Q30" s="95">
        <f t="shared" si="17"/>
        <v>52407.823875000002</v>
      </c>
      <c r="R30" s="96">
        <f t="shared" si="17"/>
        <v>262041.77083333331</v>
      </c>
      <c r="S30" s="17"/>
      <c r="T30" s="17"/>
      <c r="U30" s="17"/>
      <c r="V30" s="17"/>
      <c r="W30" s="19"/>
    </row>
    <row r="31" spans="1:23" ht="14.25" customHeight="1" x14ac:dyDescent="0.2">
      <c r="A31" s="121"/>
      <c r="B31" s="122"/>
      <c r="C31" s="122"/>
      <c r="D31" s="123" t="s">
        <v>48</v>
      </c>
      <c r="E31" s="101">
        <f t="shared" ref="E31:R31" si="18">STDEV(E20:E29)/SQRT(COUNT(E20:E29))</f>
        <v>3839.9215115126603</v>
      </c>
      <c r="F31" s="102">
        <f t="shared" si="18"/>
        <v>115198.8575031701</v>
      </c>
      <c r="G31" s="101">
        <f t="shared" si="18"/>
        <v>3337.6780710969188</v>
      </c>
      <c r="H31" s="102">
        <f t="shared" si="18"/>
        <v>100131.16278778111</v>
      </c>
      <c r="I31" s="101">
        <f t="shared" si="18"/>
        <v>2602.9034530008548</v>
      </c>
      <c r="J31" s="102">
        <f t="shared" si="18"/>
        <v>78087.833258782004</v>
      </c>
      <c r="K31" s="101">
        <f t="shared" si="18"/>
        <v>2678.6837995400097</v>
      </c>
      <c r="L31" s="102">
        <f t="shared" si="18"/>
        <v>80361.291228056522</v>
      </c>
      <c r="M31" s="101">
        <f t="shared" si="18"/>
        <v>2739.1879892804955</v>
      </c>
      <c r="N31" s="102">
        <f t="shared" si="18"/>
        <v>82176.590134158643</v>
      </c>
      <c r="O31" s="101">
        <f t="shared" si="18"/>
        <v>2417.8402549903135</v>
      </c>
      <c r="P31" s="102">
        <f t="shared" si="18"/>
        <v>72536.142336418721</v>
      </c>
      <c r="Q31" s="101">
        <f t="shared" si="18"/>
        <v>17009.410543845799</v>
      </c>
      <c r="R31" s="102">
        <f t="shared" si="18"/>
        <v>85047.916032494104</v>
      </c>
      <c r="S31" s="17"/>
      <c r="T31" s="17"/>
      <c r="U31" s="17"/>
      <c r="V31" s="17"/>
      <c r="W31" s="19"/>
    </row>
    <row r="32" spans="1:23" ht="14.25" customHeight="1" x14ac:dyDescent="0.2">
      <c r="A32" s="51" t="s">
        <v>58</v>
      </c>
      <c r="B32" s="40">
        <v>1</v>
      </c>
      <c r="C32" s="124" t="s">
        <v>80</v>
      </c>
      <c r="D32" s="184"/>
      <c r="E32" s="125"/>
      <c r="F32" s="128"/>
      <c r="G32" s="125"/>
      <c r="H32" s="176"/>
      <c r="I32" s="128"/>
      <c r="J32" s="128"/>
      <c r="K32" s="125"/>
      <c r="L32" s="176"/>
      <c r="M32" s="128"/>
      <c r="N32" s="128"/>
      <c r="O32" s="125"/>
      <c r="P32" s="176"/>
      <c r="Q32" s="80"/>
      <c r="R32" s="86"/>
      <c r="S32" s="17"/>
      <c r="T32" s="17"/>
      <c r="U32" s="17"/>
      <c r="V32" s="17"/>
      <c r="W32" s="19"/>
    </row>
    <row r="33" spans="1:23" ht="14.25" customHeight="1" x14ac:dyDescent="0.2">
      <c r="A33" s="208"/>
      <c r="B33" s="41">
        <v>2</v>
      </c>
      <c r="C33" s="124" t="s">
        <v>80</v>
      </c>
      <c r="D33" s="185"/>
      <c r="E33" s="129"/>
      <c r="F33" s="128"/>
      <c r="G33" s="129"/>
      <c r="H33" s="133"/>
      <c r="I33" s="128"/>
      <c r="J33" s="128"/>
      <c r="K33" s="129"/>
      <c r="L33" s="133"/>
      <c r="M33" s="128"/>
      <c r="N33" s="128"/>
      <c r="O33" s="129"/>
      <c r="P33" s="133"/>
      <c r="Q33" s="80"/>
      <c r="R33" s="86"/>
      <c r="S33" s="17"/>
      <c r="T33" s="17"/>
      <c r="U33" s="17"/>
      <c r="V33" s="17"/>
      <c r="W33" s="19"/>
    </row>
    <row r="34" spans="1:23" ht="14.25" customHeight="1" x14ac:dyDescent="0.2">
      <c r="A34" s="208"/>
      <c r="B34" s="43">
        <v>3</v>
      </c>
      <c r="C34" s="124" t="s">
        <v>80</v>
      </c>
      <c r="D34" s="185"/>
      <c r="E34" s="128"/>
      <c r="F34" s="128"/>
      <c r="G34" s="129"/>
      <c r="H34" s="133"/>
      <c r="I34" s="128"/>
      <c r="J34" s="128"/>
      <c r="K34" s="129"/>
      <c r="L34" s="133"/>
      <c r="M34" s="128"/>
      <c r="N34" s="128"/>
      <c r="O34" s="129"/>
      <c r="P34" s="133"/>
      <c r="Q34" s="80"/>
      <c r="R34" s="86"/>
      <c r="S34" s="17"/>
      <c r="T34" s="17"/>
      <c r="U34" s="17"/>
      <c r="V34" s="17"/>
      <c r="W34" s="19"/>
    </row>
    <row r="35" spans="1:23" ht="14.25" customHeight="1" x14ac:dyDescent="0.2">
      <c r="A35" s="42"/>
      <c r="B35" s="43">
        <v>4</v>
      </c>
      <c r="C35" s="124" t="s">
        <v>80</v>
      </c>
      <c r="D35" s="185"/>
      <c r="E35" s="128"/>
      <c r="F35" s="128"/>
      <c r="G35" s="129"/>
      <c r="H35" s="133"/>
      <c r="I35" s="128"/>
      <c r="J35" s="128"/>
      <c r="K35" s="129"/>
      <c r="L35" s="133"/>
      <c r="M35" s="128"/>
      <c r="N35" s="128"/>
      <c r="O35" s="129"/>
      <c r="P35" s="133"/>
      <c r="Q35" s="80"/>
      <c r="R35" s="86"/>
      <c r="S35" s="17"/>
      <c r="T35" s="17"/>
      <c r="U35" s="17"/>
      <c r="V35" s="17"/>
      <c r="W35" s="19"/>
    </row>
    <row r="36" spans="1:23" ht="14.25" customHeight="1" x14ac:dyDescent="0.2">
      <c r="A36" s="42"/>
      <c r="B36" s="43">
        <v>5</v>
      </c>
      <c r="C36" s="124" t="s">
        <v>80</v>
      </c>
      <c r="D36" s="185"/>
      <c r="E36" s="128"/>
      <c r="F36" s="128"/>
      <c r="G36" s="129"/>
      <c r="H36" s="133"/>
      <c r="I36" s="128"/>
      <c r="J36" s="128"/>
      <c r="K36" s="129"/>
      <c r="L36" s="133"/>
      <c r="M36" s="128"/>
      <c r="N36" s="128"/>
      <c r="O36" s="129"/>
      <c r="P36" s="133"/>
      <c r="Q36" s="80"/>
      <c r="R36" s="86"/>
      <c r="S36" s="17"/>
      <c r="T36" s="17"/>
      <c r="U36" s="17"/>
      <c r="V36" s="17"/>
      <c r="W36" s="19"/>
    </row>
    <row r="37" spans="1:23" ht="14.25" customHeight="1" x14ac:dyDescent="0.2">
      <c r="A37" s="42"/>
      <c r="B37" s="43">
        <v>6</v>
      </c>
      <c r="C37" s="124" t="s">
        <v>80</v>
      </c>
      <c r="D37" s="185"/>
      <c r="E37" s="128"/>
      <c r="F37" s="128"/>
      <c r="G37" s="129"/>
      <c r="H37" s="133"/>
      <c r="I37" s="128"/>
      <c r="J37" s="128"/>
      <c r="K37" s="129"/>
      <c r="L37" s="133"/>
      <c r="M37" s="128"/>
      <c r="N37" s="128"/>
      <c r="O37" s="129"/>
      <c r="P37" s="133"/>
      <c r="Q37" s="80"/>
      <c r="R37" s="86"/>
      <c r="S37" s="17"/>
      <c r="T37" s="17"/>
      <c r="U37" s="17"/>
      <c r="V37" s="17"/>
      <c r="W37" s="19"/>
    </row>
    <row r="38" spans="1:23" ht="14.25" customHeight="1" x14ac:dyDescent="0.2">
      <c r="A38" s="42"/>
      <c r="B38" s="43">
        <v>7</v>
      </c>
      <c r="C38" s="124" t="s">
        <v>80</v>
      </c>
      <c r="D38" s="186"/>
      <c r="E38" s="128"/>
      <c r="F38" s="128"/>
      <c r="G38" s="129"/>
      <c r="H38" s="133"/>
      <c r="I38" s="128"/>
      <c r="J38" s="128"/>
      <c r="K38" s="129"/>
      <c r="L38" s="133"/>
      <c r="M38" s="128"/>
      <c r="N38" s="128"/>
      <c r="O38" s="129"/>
      <c r="P38" s="133"/>
      <c r="Q38" s="80"/>
      <c r="R38" s="86"/>
      <c r="S38" s="17"/>
      <c r="T38" s="17"/>
      <c r="U38" s="17"/>
      <c r="V38" s="17"/>
      <c r="W38" s="19"/>
    </row>
    <row r="39" spans="1:23" ht="14.25" customHeight="1" x14ac:dyDescent="0.2">
      <c r="A39" s="42"/>
      <c r="B39" s="43">
        <v>8</v>
      </c>
      <c r="C39" s="124" t="s">
        <v>80</v>
      </c>
      <c r="D39" s="186"/>
      <c r="E39" s="128"/>
      <c r="F39" s="128"/>
      <c r="G39" s="129"/>
      <c r="H39" s="133"/>
      <c r="I39" s="128"/>
      <c r="J39" s="128"/>
      <c r="K39" s="129"/>
      <c r="L39" s="133"/>
      <c r="M39" s="128"/>
      <c r="N39" s="128"/>
      <c r="O39" s="129"/>
      <c r="P39" s="133"/>
      <c r="Q39" s="80"/>
      <c r="R39" s="86"/>
      <c r="S39" s="17"/>
      <c r="T39" s="17"/>
      <c r="U39" s="17"/>
      <c r="V39" s="17"/>
      <c r="W39" s="19"/>
    </row>
    <row r="40" spans="1:23" ht="14.25" customHeight="1" x14ac:dyDescent="0.2">
      <c r="A40" s="42"/>
      <c r="B40" s="43">
        <v>9</v>
      </c>
      <c r="C40" s="132"/>
      <c r="D40" s="131"/>
      <c r="E40" s="128"/>
      <c r="F40" s="128"/>
      <c r="G40" s="129"/>
      <c r="H40" s="133"/>
      <c r="I40" s="128"/>
      <c r="J40" s="128"/>
      <c r="K40" s="129"/>
      <c r="L40" s="133"/>
      <c r="M40" s="128"/>
      <c r="N40" s="128"/>
      <c r="O40" s="129"/>
      <c r="P40" s="133"/>
      <c r="Q40" s="129"/>
      <c r="R40" s="133"/>
      <c r="S40" s="17"/>
      <c r="T40" s="17"/>
      <c r="U40" s="17"/>
      <c r="V40" s="17"/>
      <c r="W40" s="19"/>
    </row>
    <row r="41" spans="1:23" ht="14.25" customHeight="1" x14ac:dyDescent="0.2">
      <c r="A41" s="42"/>
      <c r="B41" s="198">
        <v>10</v>
      </c>
      <c r="C41" s="199"/>
      <c r="D41" s="200"/>
      <c r="E41" s="128"/>
      <c r="F41" s="128"/>
      <c r="G41" s="134"/>
      <c r="H41" s="136"/>
      <c r="I41" s="128"/>
      <c r="J41" s="128"/>
      <c r="K41" s="134"/>
      <c r="L41" s="136"/>
      <c r="M41" s="128"/>
      <c r="N41" s="128"/>
      <c r="O41" s="134"/>
      <c r="P41" s="136"/>
      <c r="Q41" s="134"/>
      <c r="R41" s="136"/>
      <c r="S41" s="17"/>
      <c r="T41" s="17"/>
      <c r="U41" s="17"/>
      <c r="V41" s="17"/>
      <c r="W41" s="19"/>
    </row>
    <row r="42" spans="1:23" ht="14.25" customHeight="1" x14ac:dyDescent="0.2">
      <c r="A42" s="137"/>
      <c r="B42" s="138"/>
      <c r="C42" s="138"/>
      <c r="D42" s="139" t="s">
        <v>47</v>
      </c>
      <c r="E42" s="95" t="e">
        <f t="shared" ref="E42:R42" si="19">AVERAGE(E32:E41)</f>
        <v>#DIV/0!</v>
      </c>
      <c r="F42" s="96" t="e">
        <f t="shared" si="19"/>
        <v>#DIV/0!</v>
      </c>
      <c r="G42" s="95" t="e">
        <f t="shared" si="19"/>
        <v>#DIV/0!</v>
      </c>
      <c r="H42" s="96" t="e">
        <f t="shared" si="19"/>
        <v>#DIV/0!</v>
      </c>
      <c r="I42" s="95" t="e">
        <f t="shared" si="19"/>
        <v>#DIV/0!</v>
      </c>
      <c r="J42" s="96" t="e">
        <f t="shared" si="19"/>
        <v>#DIV/0!</v>
      </c>
      <c r="K42" s="95" t="e">
        <f t="shared" si="19"/>
        <v>#DIV/0!</v>
      </c>
      <c r="L42" s="96" t="e">
        <f t="shared" si="19"/>
        <v>#DIV/0!</v>
      </c>
      <c r="M42" s="95" t="e">
        <f t="shared" si="19"/>
        <v>#DIV/0!</v>
      </c>
      <c r="N42" s="96" t="e">
        <f t="shared" si="19"/>
        <v>#DIV/0!</v>
      </c>
      <c r="O42" s="95" t="e">
        <f t="shared" si="19"/>
        <v>#DIV/0!</v>
      </c>
      <c r="P42" s="96" t="e">
        <f t="shared" si="19"/>
        <v>#DIV/0!</v>
      </c>
      <c r="Q42" s="95" t="e">
        <f t="shared" si="19"/>
        <v>#DIV/0!</v>
      </c>
      <c r="R42" s="96" t="e">
        <f t="shared" si="19"/>
        <v>#DIV/0!</v>
      </c>
      <c r="S42" s="17"/>
      <c r="T42" s="17"/>
      <c r="U42" s="17"/>
      <c r="V42" s="17"/>
      <c r="W42" s="19"/>
    </row>
    <row r="43" spans="1:23" ht="14.25" customHeight="1" x14ac:dyDescent="0.2">
      <c r="A43" s="140"/>
      <c r="B43" s="141"/>
      <c r="C43" s="141"/>
      <c r="D43" s="142" t="s">
        <v>48</v>
      </c>
      <c r="E43" s="101" t="e">
        <f t="shared" ref="E43:R43" si="20">STDEV(E32:E41)/SQRT(COUNT(E32:E41))</f>
        <v>#DIV/0!</v>
      </c>
      <c r="F43" s="102" t="e">
        <f t="shared" si="20"/>
        <v>#DIV/0!</v>
      </c>
      <c r="G43" s="101" t="e">
        <f t="shared" si="20"/>
        <v>#DIV/0!</v>
      </c>
      <c r="H43" s="102" t="e">
        <f t="shared" si="20"/>
        <v>#DIV/0!</v>
      </c>
      <c r="I43" s="101" t="e">
        <f t="shared" si="20"/>
        <v>#DIV/0!</v>
      </c>
      <c r="J43" s="102" t="e">
        <f t="shared" si="20"/>
        <v>#DIV/0!</v>
      </c>
      <c r="K43" s="101" t="e">
        <f t="shared" si="20"/>
        <v>#DIV/0!</v>
      </c>
      <c r="L43" s="102" t="e">
        <f t="shared" si="20"/>
        <v>#DIV/0!</v>
      </c>
      <c r="M43" s="101" t="e">
        <f t="shared" si="20"/>
        <v>#DIV/0!</v>
      </c>
      <c r="N43" s="102" t="e">
        <f t="shared" si="20"/>
        <v>#DIV/0!</v>
      </c>
      <c r="O43" s="101" t="e">
        <f t="shared" si="20"/>
        <v>#DIV/0!</v>
      </c>
      <c r="P43" s="102" t="e">
        <f t="shared" si="20"/>
        <v>#DIV/0!</v>
      </c>
      <c r="Q43" s="101" t="e">
        <f t="shared" si="20"/>
        <v>#DIV/0!</v>
      </c>
      <c r="R43" s="102" t="e">
        <f t="shared" si="20"/>
        <v>#DIV/0!</v>
      </c>
      <c r="S43" s="17"/>
      <c r="T43" s="17"/>
      <c r="U43" s="17"/>
      <c r="V43" s="17"/>
      <c r="W43" s="19"/>
    </row>
    <row r="44" spans="1:23" ht="14.25" customHeight="1" x14ac:dyDescent="0.2">
      <c r="A44" s="52" t="s">
        <v>64</v>
      </c>
      <c r="B44" s="53">
        <v>1</v>
      </c>
      <c r="C44" s="143" t="s">
        <v>80</v>
      </c>
      <c r="D44" s="187"/>
      <c r="E44" s="125"/>
      <c r="F44" s="128"/>
      <c r="G44" s="125"/>
      <c r="H44" s="176"/>
      <c r="I44" s="128"/>
      <c r="J44" s="128"/>
      <c r="K44" s="125"/>
      <c r="L44" s="176"/>
      <c r="M44" s="128"/>
      <c r="N44" s="128"/>
      <c r="O44" s="125"/>
      <c r="P44" s="176"/>
      <c r="Q44" s="80"/>
      <c r="R44" s="86"/>
      <c r="S44" s="17"/>
      <c r="T44" s="17"/>
      <c r="U44" s="17"/>
      <c r="V44" s="17"/>
      <c r="W44" s="19"/>
    </row>
    <row r="45" spans="1:23" ht="14.25" customHeight="1" x14ac:dyDescent="0.2">
      <c r="A45" s="209"/>
      <c r="B45" s="54">
        <v>2</v>
      </c>
      <c r="C45" s="143" t="s">
        <v>80</v>
      </c>
      <c r="D45" s="187"/>
      <c r="E45" s="129"/>
      <c r="F45" s="128"/>
      <c r="G45" s="129"/>
      <c r="H45" s="133"/>
      <c r="I45" s="128"/>
      <c r="J45" s="128"/>
      <c r="K45" s="129"/>
      <c r="L45" s="133"/>
      <c r="M45" s="128"/>
      <c r="N45" s="128"/>
      <c r="O45" s="129"/>
      <c r="P45" s="133"/>
      <c r="Q45" s="80"/>
      <c r="R45" s="86"/>
      <c r="S45" s="17"/>
      <c r="T45" s="17"/>
      <c r="U45" s="17"/>
      <c r="V45" s="17"/>
      <c r="W45" s="19"/>
    </row>
    <row r="46" spans="1:23" ht="14.25" customHeight="1" x14ac:dyDescent="0.2">
      <c r="A46" s="209"/>
      <c r="B46" s="56">
        <v>3</v>
      </c>
      <c r="C46" s="143" t="s">
        <v>80</v>
      </c>
      <c r="D46" s="188"/>
      <c r="E46" s="128"/>
      <c r="F46" s="128"/>
      <c r="G46" s="129"/>
      <c r="H46" s="133"/>
      <c r="I46" s="128"/>
      <c r="J46" s="128"/>
      <c r="K46" s="129"/>
      <c r="L46" s="133"/>
      <c r="M46" s="128"/>
      <c r="N46" s="128"/>
      <c r="O46" s="129"/>
      <c r="P46" s="133"/>
      <c r="Q46" s="80"/>
      <c r="R46" s="86"/>
      <c r="S46" s="17"/>
      <c r="T46" s="17"/>
      <c r="U46" s="17"/>
      <c r="V46" s="17"/>
      <c r="W46" s="19"/>
    </row>
    <row r="47" spans="1:23" ht="14.25" customHeight="1" x14ac:dyDescent="0.2">
      <c r="A47" s="55"/>
      <c r="B47" s="56">
        <v>4</v>
      </c>
      <c r="C47" s="143" t="s">
        <v>80</v>
      </c>
      <c r="D47" s="188"/>
      <c r="E47" s="128"/>
      <c r="F47" s="128"/>
      <c r="G47" s="129"/>
      <c r="H47" s="133"/>
      <c r="I47" s="128"/>
      <c r="J47" s="128"/>
      <c r="K47" s="129"/>
      <c r="L47" s="133"/>
      <c r="M47" s="128"/>
      <c r="N47" s="128"/>
      <c r="O47" s="129"/>
      <c r="P47" s="133"/>
      <c r="Q47" s="80"/>
      <c r="R47" s="86"/>
      <c r="S47" s="17"/>
      <c r="T47" s="17"/>
      <c r="U47" s="17"/>
      <c r="V47" s="17"/>
      <c r="W47" s="19"/>
    </row>
    <row r="48" spans="1:23" ht="14.25" customHeight="1" x14ac:dyDescent="0.2">
      <c r="A48" s="55"/>
      <c r="B48" s="56">
        <v>5</v>
      </c>
      <c r="C48" s="143" t="s">
        <v>80</v>
      </c>
      <c r="D48" s="188"/>
      <c r="E48" s="128"/>
      <c r="F48" s="128"/>
      <c r="G48" s="129"/>
      <c r="H48" s="133"/>
      <c r="I48" s="128"/>
      <c r="J48" s="128"/>
      <c r="K48" s="129"/>
      <c r="L48" s="133"/>
      <c r="M48" s="128"/>
      <c r="N48" s="128"/>
      <c r="O48" s="129"/>
      <c r="P48" s="133"/>
      <c r="Q48" s="80"/>
      <c r="R48" s="86"/>
      <c r="S48" s="17"/>
      <c r="T48" s="17"/>
      <c r="U48" s="17"/>
      <c r="V48" s="17"/>
      <c r="W48" s="19"/>
    </row>
    <row r="49" spans="1:23" ht="14.25" customHeight="1" x14ac:dyDescent="0.2">
      <c r="A49" s="55"/>
      <c r="B49" s="56">
        <v>6</v>
      </c>
      <c r="C49" s="143" t="s">
        <v>80</v>
      </c>
      <c r="D49" s="188"/>
      <c r="E49" s="128"/>
      <c r="F49" s="128"/>
      <c r="G49" s="129"/>
      <c r="H49" s="133"/>
      <c r="I49" s="128"/>
      <c r="J49" s="128"/>
      <c r="K49" s="129"/>
      <c r="L49" s="133"/>
      <c r="M49" s="128"/>
      <c r="N49" s="128"/>
      <c r="O49" s="129"/>
      <c r="P49" s="133"/>
      <c r="Q49" s="80"/>
      <c r="R49" s="86"/>
      <c r="S49" s="17"/>
      <c r="T49" s="17"/>
      <c r="U49" s="17"/>
      <c r="V49" s="17"/>
      <c r="W49" s="19"/>
    </row>
    <row r="50" spans="1:23" ht="14.25" customHeight="1" x14ac:dyDescent="0.2">
      <c r="A50" s="55"/>
      <c r="B50" s="56">
        <v>7</v>
      </c>
      <c r="C50" s="143" t="s">
        <v>80</v>
      </c>
      <c r="D50" s="189"/>
      <c r="E50" s="128"/>
      <c r="F50" s="128"/>
      <c r="G50" s="129"/>
      <c r="H50" s="133"/>
      <c r="I50" s="128"/>
      <c r="J50" s="128"/>
      <c r="K50" s="129"/>
      <c r="L50" s="133"/>
      <c r="M50" s="128"/>
      <c r="N50" s="128"/>
      <c r="O50" s="129"/>
      <c r="P50" s="133"/>
      <c r="Q50" s="80"/>
      <c r="R50" s="86"/>
      <c r="S50" s="17"/>
      <c r="T50" s="17"/>
      <c r="U50" s="17"/>
      <c r="V50" s="17"/>
      <c r="W50" s="19"/>
    </row>
    <row r="51" spans="1:23" ht="14.25" customHeight="1" x14ac:dyDescent="0.2">
      <c r="A51" s="55"/>
      <c r="B51" s="56">
        <v>8</v>
      </c>
      <c r="C51" s="143" t="s">
        <v>80</v>
      </c>
      <c r="D51" s="189"/>
      <c r="E51" s="128"/>
      <c r="F51" s="128"/>
      <c r="G51" s="129"/>
      <c r="H51" s="133"/>
      <c r="I51" s="128"/>
      <c r="J51" s="128"/>
      <c r="K51" s="129"/>
      <c r="L51" s="133"/>
      <c r="M51" s="128"/>
      <c r="N51" s="128"/>
      <c r="O51" s="129"/>
      <c r="P51" s="133"/>
      <c r="Q51" s="80"/>
      <c r="R51" s="86"/>
      <c r="S51" s="17"/>
      <c r="T51" s="17"/>
      <c r="U51" s="17"/>
      <c r="V51" s="17"/>
      <c r="W51" s="19"/>
    </row>
    <row r="52" spans="1:23" ht="14.25" customHeight="1" x14ac:dyDescent="0.2">
      <c r="A52" s="55"/>
      <c r="B52" s="56">
        <v>9</v>
      </c>
      <c r="C52" s="145"/>
      <c r="D52" s="144"/>
      <c r="E52" s="128"/>
      <c r="F52" s="128"/>
      <c r="G52" s="129"/>
      <c r="H52" s="133"/>
      <c r="I52" s="128"/>
      <c r="J52" s="128"/>
      <c r="K52" s="129"/>
      <c r="L52" s="133"/>
      <c r="M52" s="128"/>
      <c r="N52" s="128"/>
      <c r="O52" s="129"/>
      <c r="P52" s="133"/>
      <c r="Q52" s="129"/>
      <c r="R52" s="133"/>
      <c r="S52" s="17"/>
      <c r="T52" s="17"/>
      <c r="U52" s="17"/>
      <c r="V52" s="17"/>
      <c r="W52" s="19"/>
    </row>
    <row r="53" spans="1:23" ht="14.25" customHeight="1" x14ac:dyDescent="0.2">
      <c r="A53" s="55"/>
      <c r="B53" s="201">
        <v>10</v>
      </c>
      <c r="C53" s="202"/>
      <c r="D53" s="203"/>
      <c r="E53" s="128"/>
      <c r="F53" s="128"/>
      <c r="G53" s="134"/>
      <c r="H53" s="136"/>
      <c r="I53" s="128"/>
      <c r="J53" s="128"/>
      <c r="K53" s="134"/>
      <c r="L53" s="136"/>
      <c r="M53" s="128"/>
      <c r="N53" s="128"/>
      <c r="O53" s="134"/>
      <c r="P53" s="136"/>
      <c r="Q53" s="134"/>
      <c r="R53" s="136"/>
      <c r="S53" s="17"/>
      <c r="T53" s="17"/>
      <c r="U53" s="17"/>
      <c r="V53" s="17"/>
      <c r="W53" s="19"/>
    </row>
    <row r="54" spans="1:23" ht="14.25" customHeight="1" x14ac:dyDescent="0.2">
      <c r="A54" s="146"/>
      <c r="B54" s="147"/>
      <c r="C54" s="147"/>
      <c r="D54" s="148" t="s">
        <v>47</v>
      </c>
      <c r="E54" s="95" t="e">
        <f t="shared" ref="E54:R54" si="21">AVERAGE(E44:E53)</f>
        <v>#DIV/0!</v>
      </c>
      <c r="F54" s="96" t="e">
        <f t="shared" si="21"/>
        <v>#DIV/0!</v>
      </c>
      <c r="G54" s="95" t="e">
        <f t="shared" si="21"/>
        <v>#DIV/0!</v>
      </c>
      <c r="H54" s="96" t="e">
        <f t="shared" si="21"/>
        <v>#DIV/0!</v>
      </c>
      <c r="I54" s="95" t="e">
        <f t="shared" si="21"/>
        <v>#DIV/0!</v>
      </c>
      <c r="J54" s="96" t="e">
        <f t="shared" si="21"/>
        <v>#DIV/0!</v>
      </c>
      <c r="K54" s="95" t="e">
        <f t="shared" si="21"/>
        <v>#DIV/0!</v>
      </c>
      <c r="L54" s="96" t="e">
        <f t="shared" si="21"/>
        <v>#DIV/0!</v>
      </c>
      <c r="M54" s="95" t="e">
        <f t="shared" si="21"/>
        <v>#DIV/0!</v>
      </c>
      <c r="N54" s="96" t="e">
        <f t="shared" si="21"/>
        <v>#DIV/0!</v>
      </c>
      <c r="O54" s="95" t="e">
        <f t="shared" si="21"/>
        <v>#DIV/0!</v>
      </c>
      <c r="P54" s="96" t="e">
        <f t="shared" si="21"/>
        <v>#DIV/0!</v>
      </c>
      <c r="Q54" s="95" t="e">
        <f t="shared" si="21"/>
        <v>#DIV/0!</v>
      </c>
      <c r="R54" s="96" t="e">
        <f t="shared" si="21"/>
        <v>#DIV/0!</v>
      </c>
      <c r="S54" s="17"/>
      <c r="T54" s="17"/>
      <c r="U54" s="17"/>
      <c r="V54" s="17"/>
      <c r="W54" s="19"/>
    </row>
    <row r="55" spans="1:23" ht="14.25" customHeight="1" x14ac:dyDescent="0.2">
      <c r="A55" s="149"/>
      <c r="B55" s="150"/>
      <c r="C55" s="150"/>
      <c r="D55" s="151" t="s">
        <v>48</v>
      </c>
      <c r="E55" s="101" t="e">
        <f t="shared" ref="E55:R55" si="22">STDEV(E44:E53)/SQRT(COUNT(E44:E53))</f>
        <v>#DIV/0!</v>
      </c>
      <c r="F55" s="102" t="e">
        <f t="shared" si="22"/>
        <v>#DIV/0!</v>
      </c>
      <c r="G55" s="101" t="e">
        <f t="shared" si="22"/>
        <v>#DIV/0!</v>
      </c>
      <c r="H55" s="102" t="e">
        <f t="shared" si="22"/>
        <v>#DIV/0!</v>
      </c>
      <c r="I55" s="101" t="e">
        <f t="shared" si="22"/>
        <v>#DIV/0!</v>
      </c>
      <c r="J55" s="102" t="e">
        <f t="shared" si="22"/>
        <v>#DIV/0!</v>
      </c>
      <c r="K55" s="101" t="e">
        <f t="shared" si="22"/>
        <v>#DIV/0!</v>
      </c>
      <c r="L55" s="102" t="e">
        <f t="shared" si="22"/>
        <v>#DIV/0!</v>
      </c>
      <c r="M55" s="101" t="e">
        <f t="shared" si="22"/>
        <v>#DIV/0!</v>
      </c>
      <c r="N55" s="102" t="e">
        <f t="shared" si="22"/>
        <v>#DIV/0!</v>
      </c>
      <c r="O55" s="101" t="e">
        <f t="shared" si="22"/>
        <v>#DIV/0!</v>
      </c>
      <c r="P55" s="102" t="e">
        <f t="shared" si="22"/>
        <v>#DIV/0!</v>
      </c>
      <c r="Q55" s="101" t="e">
        <f t="shared" si="22"/>
        <v>#DIV/0!</v>
      </c>
      <c r="R55" s="102" t="e">
        <f t="shared" si="22"/>
        <v>#DIV/0!</v>
      </c>
      <c r="S55" s="17"/>
      <c r="T55" s="17"/>
      <c r="U55" s="17"/>
      <c r="V55" s="17"/>
      <c r="W55" s="19"/>
    </row>
    <row r="56" spans="1:23" ht="14.25" customHeight="1" x14ac:dyDescent="0.2">
      <c r="A56" s="152"/>
      <c r="B56" s="152"/>
      <c r="C56" s="152" t="s">
        <v>50</v>
      </c>
      <c r="D56" s="152" t="s">
        <v>51</v>
      </c>
      <c r="E56" s="153">
        <f>TTEST(E8:E17,E20:E29,2,2)</f>
        <v>2.6628405194480478E-2</v>
      </c>
      <c r="F56" s="153">
        <f t="shared" ref="F56:R56" si="23">TTEST(F8:F17,F20:F29,2,2)</f>
        <v>2.6628495516300671E-2</v>
      </c>
      <c r="G56" s="153">
        <f t="shared" ref="G56:P56" si="24">TTEST(G8:G17,G20:G29,2,2)</f>
        <v>1.7552889356785624E-2</v>
      </c>
      <c r="H56" s="153">
        <f t="shared" si="24"/>
        <v>1.7552859209432975E-2</v>
      </c>
      <c r="I56" s="153">
        <f t="shared" si="24"/>
        <v>2.2540105058096598E-2</v>
      </c>
      <c r="J56" s="153">
        <f t="shared" si="24"/>
        <v>2.2540015570132552E-2</v>
      </c>
      <c r="K56" s="153">
        <f t="shared" si="24"/>
        <v>2.3210266301774529E-2</v>
      </c>
      <c r="L56" s="153">
        <f t="shared" si="24"/>
        <v>2.3210287815762603E-2</v>
      </c>
      <c r="M56" s="153">
        <f t="shared" si="24"/>
        <v>2.4973259057852103E-2</v>
      </c>
      <c r="N56" s="153">
        <f t="shared" si="24"/>
        <v>2.4973297844361506E-2</v>
      </c>
      <c r="O56" s="153">
        <f t="shared" si="24"/>
        <v>1.8975403770175054E-2</v>
      </c>
      <c r="P56" s="153">
        <f t="shared" si="24"/>
        <v>1.8975386557588431E-2</v>
      </c>
      <c r="Q56" s="153">
        <f t="shared" si="23"/>
        <v>1.8576117740059812E-2</v>
      </c>
      <c r="R56" s="153">
        <f t="shared" si="23"/>
        <v>1.8576109880674003E-2</v>
      </c>
      <c r="S56" s="17"/>
      <c r="T56" s="17"/>
      <c r="U56" s="17"/>
      <c r="V56" s="17"/>
      <c r="W56" s="19"/>
    </row>
    <row r="57" spans="1:23" ht="14.25" customHeight="1" x14ac:dyDescent="0.2">
      <c r="A57" s="152"/>
      <c r="B57" s="152"/>
      <c r="C57" s="152"/>
      <c r="D57" s="152" t="s">
        <v>59</v>
      </c>
      <c r="E57" s="153" t="e">
        <f>TTEST(E8:E17,E32:E41,2,2)</f>
        <v>#DIV/0!</v>
      </c>
      <c r="F57" s="153" t="e">
        <f t="shared" ref="F57:R57" si="25">TTEST(F8:F17,F32:F41,2,2)</f>
        <v>#DIV/0!</v>
      </c>
      <c r="G57" s="153" t="e">
        <f t="shared" ref="G57:P57" si="26">TTEST(G8:G17,G32:G41,2,2)</f>
        <v>#DIV/0!</v>
      </c>
      <c r="H57" s="153" t="e">
        <f t="shared" si="26"/>
        <v>#DIV/0!</v>
      </c>
      <c r="I57" s="153" t="e">
        <f t="shared" si="26"/>
        <v>#DIV/0!</v>
      </c>
      <c r="J57" s="153" t="e">
        <f t="shared" si="26"/>
        <v>#DIV/0!</v>
      </c>
      <c r="K57" s="153" t="e">
        <f t="shared" si="26"/>
        <v>#DIV/0!</v>
      </c>
      <c r="L57" s="153" t="e">
        <f t="shared" si="26"/>
        <v>#DIV/0!</v>
      </c>
      <c r="M57" s="153" t="e">
        <f t="shared" si="26"/>
        <v>#DIV/0!</v>
      </c>
      <c r="N57" s="153" t="e">
        <f t="shared" si="26"/>
        <v>#DIV/0!</v>
      </c>
      <c r="O57" s="153" t="e">
        <f t="shared" si="26"/>
        <v>#DIV/0!</v>
      </c>
      <c r="P57" s="153" t="e">
        <f t="shared" si="26"/>
        <v>#DIV/0!</v>
      </c>
      <c r="Q57" s="153" t="e">
        <f t="shared" si="25"/>
        <v>#DIV/0!</v>
      </c>
      <c r="R57" s="153" t="e">
        <f t="shared" si="25"/>
        <v>#DIV/0!</v>
      </c>
      <c r="S57" s="17"/>
      <c r="T57" s="17"/>
      <c r="U57" s="17"/>
      <c r="V57" s="17"/>
      <c r="W57" s="19"/>
    </row>
    <row r="58" spans="1:23" ht="14.25" customHeight="1" x14ac:dyDescent="0.2">
      <c r="A58" s="152"/>
      <c r="B58" s="152"/>
      <c r="C58" s="152"/>
      <c r="D58" s="152" t="s">
        <v>65</v>
      </c>
      <c r="E58" s="153" t="e">
        <f>TTEST(E8:E17,E44:E53,2,2)</f>
        <v>#DIV/0!</v>
      </c>
      <c r="F58" s="153" t="e">
        <f t="shared" ref="F58:R58" si="27">TTEST(F8:F17,F44:F53,2,2)</f>
        <v>#DIV/0!</v>
      </c>
      <c r="G58" s="153" t="e">
        <f t="shared" ref="G58:P58" si="28">TTEST(G8:G17,G44:G53,2,2)</f>
        <v>#DIV/0!</v>
      </c>
      <c r="H58" s="153" t="e">
        <f t="shared" si="28"/>
        <v>#DIV/0!</v>
      </c>
      <c r="I58" s="153" t="e">
        <f t="shared" si="28"/>
        <v>#DIV/0!</v>
      </c>
      <c r="J58" s="153" t="e">
        <f t="shared" si="28"/>
        <v>#DIV/0!</v>
      </c>
      <c r="K58" s="153" t="e">
        <f t="shared" si="28"/>
        <v>#DIV/0!</v>
      </c>
      <c r="L58" s="153" t="e">
        <f t="shared" si="28"/>
        <v>#DIV/0!</v>
      </c>
      <c r="M58" s="153" t="e">
        <f t="shared" si="28"/>
        <v>#DIV/0!</v>
      </c>
      <c r="N58" s="153" t="e">
        <f t="shared" si="28"/>
        <v>#DIV/0!</v>
      </c>
      <c r="O58" s="153" t="e">
        <f t="shared" si="28"/>
        <v>#DIV/0!</v>
      </c>
      <c r="P58" s="153" t="e">
        <f t="shared" si="28"/>
        <v>#DIV/0!</v>
      </c>
      <c r="Q58" s="153" t="e">
        <f t="shared" si="27"/>
        <v>#DIV/0!</v>
      </c>
      <c r="R58" s="153" t="e">
        <f t="shared" si="27"/>
        <v>#DIV/0!</v>
      </c>
      <c r="S58" s="17"/>
      <c r="T58" s="17"/>
      <c r="U58" s="17"/>
      <c r="V58" s="17"/>
      <c r="W58" s="19"/>
    </row>
    <row r="59" spans="1:23" ht="14.25" customHeight="1" x14ac:dyDescent="0.2">
      <c r="A59" s="152"/>
      <c r="B59" s="152"/>
      <c r="C59" s="152"/>
      <c r="D59" s="152" t="s">
        <v>60</v>
      </c>
      <c r="E59" s="153" t="e">
        <f>TTEST(E20:E29,E32:E41,2,2)</f>
        <v>#DIV/0!</v>
      </c>
      <c r="F59" s="153" t="e">
        <f t="shared" ref="F59:R59" si="29">TTEST(F20:F29,F32:F41,2,2)</f>
        <v>#DIV/0!</v>
      </c>
      <c r="G59" s="153" t="e">
        <f t="shared" si="29"/>
        <v>#DIV/0!</v>
      </c>
      <c r="H59" s="153" t="e">
        <f t="shared" si="29"/>
        <v>#DIV/0!</v>
      </c>
      <c r="I59" s="153" t="e">
        <f t="shared" si="29"/>
        <v>#DIV/0!</v>
      </c>
      <c r="J59" s="153" t="e">
        <f t="shared" si="29"/>
        <v>#DIV/0!</v>
      </c>
      <c r="K59" s="153" t="e">
        <f t="shared" si="29"/>
        <v>#DIV/0!</v>
      </c>
      <c r="L59" s="153" t="e">
        <f t="shared" si="29"/>
        <v>#DIV/0!</v>
      </c>
      <c r="M59" s="153" t="e">
        <f t="shared" si="29"/>
        <v>#DIV/0!</v>
      </c>
      <c r="N59" s="153" t="e">
        <f t="shared" si="29"/>
        <v>#DIV/0!</v>
      </c>
      <c r="O59" s="153" t="e">
        <f t="shared" si="29"/>
        <v>#DIV/0!</v>
      </c>
      <c r="P59" s="153" t="e">
        <f t="shared" si="29"/>
        <v>#DIV/0!</v>
      </c>
      <c r="Q59" s="153" t="e">
        <f t="shared" si="29"/>
        <v>#DIV/0!</v>
      </c>
      <c r="R59" s="153" t="e">
        <f t="shared" si="29"/>
        <v>#DIV/0!</v>
      </c>
      <c r="S59" s="17"/>
      <c r="T59" s="17"/>
      <c r="U59" s="17"/>
      <c r="V59" s="17"/>
      <c r="W59" s="19"/>
    </row>
    <row r="60" spans="1:23" ht="14.25" customHeight="1" x14ac:dyDescent="0.2">
      <c r="A60" s="152"/>
      <c r="B60" s="152"/>
      <c r="C60" s="152"/>
      <c r="D60" s="152" t="s">
        <v>66</v>
      </c>
      <c r="E60" s="153" t="e">
        <f>TTEST(E20:E29,E44:E53,2,2)</f>
        <v>#DIV/0!</v>
      </c>
      <c r="F60" s="153" t="e">
        <f t="shared" ref="F60:R60" si="30">TTEST(F20:F29,F44:F53,2,2)</f>
        <v>#DIV/0!</v>
      </c>
      <c r="G60" s="153" t="e">
        <f t="shared" si="30"/>
        <v>#DIV/0!</v>
      </c>
      <c r="H60" s="153" t="e">
        <f t="shared" si="30"/>
        <v>#DIV/0!</v>
      </c>
      <c r="I60" s="153" t="e">
        <f t="shared" si="30"/>
        <v>#DIV/0!</v>
      </c>
      <c r="J60" s="153" t="e">
        <f t="shared" si="30"/>
        <v>#DIV/0!</v>
      </c>
      <c r="K60" s="153" t="e">
        <f t="shared" si="30"/>
        <v>#DIV/0!</v>
      </c>
      <c r="L60" s="153" t="e">
        <f t="shared" si="30"/>
        <v>#DIV/0!</v>
      </c>
      <c r="M60" s="153" t="e">
        <f t="shared" si="30"/>
        <v>#DIV/0!</v>
      </c>
      <c r="N60" s="153" t="e">
        <f t="shared" si="30"/>
        <v>#DIV/0!</v>
      </c>
      <c r="O60" s="153" t="e">
        <f t="shared" si="30"/>
        <v>#DIV/0!</v>
      </c>
      <c r="P60" s="153" t="e">
        <f t="shared" si="30"/>
        <v>#DIV/0!</v>
      </c>
      <c r="Q60" s="153" t="e">
        <f t="shared" si="30"/>
        <v>#DIV/0!</v>
      </c>
      <c r="R60" s="153" t="e">
        <f t="shared" si="30"/>
        <v>#DIV/0!</v>
      </c>
      <c r="S60" s="17"/>
      <c r="T60" s="17"/>
      <c r="U60" s="17"/>
      <c r="V60" s="17"/>
      <c r="W60" s="19"/>
    </row>
    <row r="61" spans="1:23" ht="14.25" customHeight="1" x14ac:dyDescent="0.2">
      <c r="A61" s="152"/>
      <c r="B61" s="152"/>
      <c r="C61" s="152"/>
      <c r="D61" s="152" t="s">
        <v>67</v>
      </c>
      <c r="E61" s="153" t="e">
        <f>TTEST(E32:E41,E44:E53,2,2)</f>
        <v>#DIV/0!</v>
      </c>
      <c r="F61" s="153" t="e">
        <f t="shared" ref="F61:R61" si="31">TTEST(F32:F41,F44:F53,2,2)</f>
        <v>#DIV/0!</v>
      </c>
      <c r="G61" s="153" t="e">
        <f t="shared" si="31"/>
        <v>#DIV/0!</v>
      </c>
      <c r="H61" s="153" t="e">
        <f t="shared" si="31"/>
        <v>#DIV/0!</v>
      </c>
      <c r="I61" s="153" t="e">
        <f t="shared" si="31"/>
        <v>#DIV/0!</v>
      </c>
      <c r="J61" s="153" t="e">
        <f t="shared" si="31"/>
        <v>#DIV/0!</v>
      </c>
      <c r="K61" s="153" t="e">
        <f t="shared" si="31"/>
        <v>#DIV/0!</v>
      </c>
      <c r="L61" s="153" t="e">
        <f t="shared" si="31"/>
        <v>#DIV/0!</v>
      </c>
      <c r="M61" s="153" t="e">
        <f t="shared" si="31"/>
        <v>#DIV/0!</v>
      </c>
      <c r="N61" s="153" t="e">
        <f t="shared" si="31"/>
        <v>#DIV/0!</v>
      </c>
      <c r="O61" s="153" t="e">
        <f t="shared" si="31"/>
        <v>#DIV/0!</v>
      </c>
      <c r="P61" s="153" t="e">
        <f t="shared" si="31"/>
        <v>#DIV/0!</v>
      </c>
      <c r="Q61" s="153" t="e">
        <f t="shared" si="31"/>
        <v>#DIV/0!</v>
      </c>
      <c r="R61" s="153" t="e">
        <f t="shared" si="31"/>
        <v>#DIV/0!</v>
      </c>
      <c r="S61" s="17"/>
      <c r="T61" s="17"/>
      <c r="U61" s="17"/>
      <c r="V61" s="17"/>
      <c r="W61" s="19"/>
    </row>
    <row r="62" spans="1:23" ht="14.25" customHeight="1" x14ac:dyDescent="0.2">
      <c r="A62" s="29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5"/>
    </row>
  </sheetData>
  <sheetProtection algorithmName="SHA-512" hashValue="Trq8lF+oYT/2T8G6JQWsDB/8hy5Eppgw1gxx57/wEEacProXBlcuHH9aIRjOKXK9rbbvZAwikSPisQeGX2ndCA==" saltValue="ULSCu9fqQlKcBgSHYSl8OA==" spinCount="100000" sheet="1" objects="1" scenarios="1"/>
  <mergeCells count="11">
    <mergeCell ref="Q5:R5"/>
    <mergeCell ref="O5:P5"/>
    <mergeCell ref="M5:N5"/>
    <mergeCell ref="K5:L5"/>
    <mergeCell ref="I5:J5"/>
    <mergeCell ref="A9:A10"/>
    <mergeCell ref="A21:A22"/>
    <mergeCell ref="A33:A34"/>
    <mergeCell ref="A45:A46"/>
    <mergeCell ref="G5:H5"/>
    <mergeCell ref="E5:F5"/>
  </mergeCells>
  <phoneticPr fontId="16" type="noConversion"/>
  <conditionalFormatting sqref="E56:R61">
    <cfRule type="cellIs" dxfId="0" priority="1" operator="lessThan">
      <formula>0.05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7"/>
  <sheetViews>
    <sheetView workbookViewId="0">
      <selection activeCell="X1" sqref="X1"/>
    </sheetView>
  </sheetViews>
  <sheetFormatPr defaultColWidth="9" defaultRowHeight="14.25" x14ac:dyDescent="0.2"/>
  <cols>
    <col min="1" max="16384" width="9" style="1"/>
  </cols>
  <sheetData>
    <row r="1" ht="20.100000000000001" customHeight="1" x14ac:dyDescent="0.2"/>
    <row r="17" ht="20.25" customHeight="1" x14ac:dyDescent="0.2"/>
  </sheetData>
  <sheetProtection algorithmName="SHA-512" hashValue="VhoikZnZ4TgmBcAD2fX4wM36YgFbm/8Fz/cLGiWswqEYguiLUizdwx/A5jTtOKSSVKYsRWJX9qXwEmNquftLVg==" saltValue="m3iRQbV4apQPDcspAfwwJw==" spinCount="100000" sheet="1" objects="1" scenarios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Center Zone</vt:lpstr>
      <vt:lpstr>Intermediate Zone</vt:lpstr>
      <vt:lpstr>Outer Zone</vt:lpstr>
      <vt:lpstr>Movement</vt:lpstr>
      <vt:lpstr>Distance &amp; Velocity</vt:lpstr>
      <vt:lpstr>Procedures &amp; References</vt:lpstr>
    </vt:vector>
  </TitlesOfParts>
  <Company>University of Michigan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Qi, Nathan</dc:creator>
  <cp:lastModifiedBy>Wu, Zhe</cp:lastModifiedBy>
  <cp:lastPrinted>2022-08-30T14:59:19Z</cp:lastPrinted>
  <dcterms:created xsi:type="dcterms:W3CDTF">2020-09-03T16:12:34Z</dcterms:created>
  <dcterms:modified xsi:type="dcterms:W3CDTF">2025-09-24T20:46:17Z</dcterms:modified>
</cp:coreProperties>
</file>