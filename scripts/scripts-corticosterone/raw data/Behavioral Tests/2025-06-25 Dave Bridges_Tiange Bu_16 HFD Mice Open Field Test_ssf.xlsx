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Volumes/BridgesLab/Bu/Data Collection/Behavioral Tests/"/>
    </mc:Choice>
  </mc:AlternateContent>
  <xr:revisionPtr revIDLastSave="0" documentId="13_ncr:1_{A20E75A3-7EC7-2140-AC45-D7F74B1BE310}" xr6:coauthVersionLast="47" xr6:coauthVersionMax="47" xr10:uidLastSave="{00000000-0000-0000-0000-000000000000}"/>
  <bookViews>
    <workbookView xWindow="-120" yWindow="620" windowWidth="29040" windowHeight="17500" xr2:uid="{00000000-000D-0000-FFFF-FFFF00000000}"/>
  </bookViews>
  <sheets>
    <sheet name="Center Zone" sheetId="1" r:id="rId1"/>
    <sheet name="Intermediate Zone" sheetId="6" r:id="rId2"/>
    <sheet name="Outer Zone" sheetId="2" r:id="rId3"/>
    <sheet name="Movement" sheetId="4" r:id="rId4"/>
    <sheet name="Distance &amp; Velocity" sheetId="3" r:id="rId5"/>
    <sheet name="Procedures &amp; Reference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5" i="2" l="1"/>
  <c r="Q25" i="3"/>
  <c r="R25" i="3"/>
  <c r="Q26" i="3"/>
  <c r="R26" i="3"/>
  <c r="Q27" i="3"/>
  <c r="R27" i="3"/>
  <c r="Q24" i="3"/>
  <c r="R24" i="3"/>
  <c r="Q24" i="4"/>
  <c r="R24" i="4"/>
  <c r="Q25" i="4"/>
  <c r="R25" i="4"/>
  <c r="Q26" i="4"/>
  <c r="R26" i="4"/>
  <c r="Q27" i="4"/>
  <c r="R27" i="4"/>
  <c r="R14" i="2"/>
  <c r="R13" i="2"/>
  <c r="Q13" i="6"/>
  <c r="R13" i="6"/>
  <c r="Q14" i="6"/>
  <c r="R14" i="6"/>
  <c r="Q15" i="6"/>
  <c r="R15" i="6"/>
  <c r="Q24" i="2"/>
  <c r="R24" i="2"/>
  <c r="Q25" i="2"/>
  <c r="R25" i="2"/>
  <c r="Q26" i="2"/>
  <c r="R26" i="2"/>
  <c r="Q27" i="2"/>
  <c r="R27" i="2"/>
  <c r="Q24" i="6"/>
  <c r="R24" i="6"/>
  <c r="Q25" i="6"/>
  <c r="R25" i="6"/>
  <c r="Q26" i="6"/>
  <c r="R26" i="6"/>
  <c r="Q27" i="6"/>
  <c r="R27" i="6"/>
  <c r="Q40" i="1"/>
  <c r="R40" i="1"/>
  <c r="Q41" i="1"/>
  <c r="R41" i="1"/>
  <c r="Q42" i="1"/>
  <c r="R42" i="1"/>
  <c r="Q43" i="1"/>
  <c r="R43" i="1"/>
  <c r="Q12" i="3"/>
  <c r="R12" i="3"/>
  <c r="Q13" i="3"/>
  <c r="R13" i="3"/>
  <c r="Q14" i="3"/>
  <c r="R14" i="3"/>
  <c r="Q15" i="3"/>
  <c r="R15" i="3"/>
  <c r="Q12" i="4"/>
  <c r="R12" i="4"/>
  <c r="Q13" i="4"/>
  <c r="R13" i="4"/>
  <c r="Q14" i="4"/>
  <c r="R14" i="4"/>
  <c r="Q15" i="4"/>
  <c r="R15" i="4"/>
  <c r="Q12" i="2"/>
  <c r="Q13" i="2"/>
  <c r="Q14" i="2"/>
  <c r="Q15" i="2"/>
  <c r="R12" i="2"/>
  <c r="Q12" i="6"/>
  <c r="R12" i="6"/>
  <c r="Q28" i="1"/>
  <c r="R28" i="1"/>
  <c r="Q29" i="1"/>
  <c r="R29" i="1"/>
  <c r="Q30" i="1"/>
  <c r="R30" i="1"/>
  <c r="Q31" i="1"/>
  <c r="R31" i="1"/>
  <c r="Q24" i="1"/>
  <c r="Q25" i="1"/>
  <c r="P61" i="4" l="1"/>
  <c r="O61" i="4"/>
  <c r="N61" i="4"/>
  <c r="M61" i="4"/>
  <c r="L61" i="4"/>
  <c r="K61" i="4"/>
  <c r="J61" i="4"/>
  <c r="I61" i="4"/>
  <c r="H61" i="4"/>
  <c r="G61" i="4"/>
  <c r="F61" i="4"/>
  <c r="E61" i="4"/>
  <c r="P60" i="4"/>
  <c r="O60" i="4"/>
  <c r="N60" i="4"/>
  <c r="M60" i="4"/>
  <c r="L60" i="4"/>
  <c r="K60" i="4"/>
  <c r="J60" i="4"/>
  <c r="I60" i="4"/>
  <c r="H60" i="4"/>
  <c r="G60" i="4"/>
  <c r="F60" i="4"/>
  <c r="E60" i="4"/>
  <c r="P59" i="4"/>
  <c r="O59" i="4"/>
  <c r="N59" i="4"/>
  <c r="M59" i="4"/>
  <c r="L59" i="4"/>
  <c r="K59" i="4"/>
  <c r="J59" i="4"/>
  <c r="I59" i="4"/>
  <c r="H59" i="4"/>
  <c r="G59" i="4"/>
  <c r="F59" i="4"/>
  <c r="E59" i="4"/>
  <c r="P58" i="4"/>
  <c r="O58" i="4"/>
  <c r="N58" i="4"/>
  <c r="M58" i="4"/>
  <c r="L58" i="4"/>
  <c r="K58" i="4"/>
  <c r="J58" i="4"/>
  <c r="I58" i="4"/>
  <c r="H58" i="4"/>
  <c r="G58" i="4"/>
  <c r="F58" i="4"/>
  <c r="E58" i="4"/>
  <c r="P57" i="4"/>
  <c r="O57" i="4"/>
  <c r="N57" i="4"/>
  <c r="M57" i="4"/>
  <c r="L57" i="4"/>
  <c r="K57" i="4"/>
  <c r="J57" i="4"/>
  <c r="I57" i="4"/>
  <c r="H57" i="4"/>
  <c r="G57" i="4"/>
  <c r="F57" i="4"/>
  <c r="E57" i="4"/>
  <c r="P56" i="4"/>
  <c r="O56" i="4"/>
  <c r="N56" i="4"/>
  <c r="M56" i="4"/>
  <c r="L56" i="4"/>
  <c r="K56" i="4"/>
  <c r="J56" i="4"/>
  <c r="I56" i="4"/>
  <c r="H56" i="4"/>
  <c r="G56" i="4"/>
  <c r="F56" i="4"/>
  <c r="E56" i="4"/>
  <c r="P61" i="2"/>
  <c r="O61" i="2"/>
  <c r="N61" i="2"/>
  <c r="M61" i="2"/>
  <c r="L61" i="2"/>
  <c r="K61" i="2"/>
  <c r="J61" i="2"/>
  <c r="I61" i="2"/>
  <c r="H61" i="2"/>
  <c r="G61" i="2"/>
  <c r="F61" i="2"/>
  <c r="E61" i="2"/>
  <c r="P60" i="2"/>
  <c r="O60" i="2"/>
  <c r="N60" i="2"/>
  <c r="M60" i="2"/>
  <c r="L60" i="2"/>
  <c r="K60" i="2"/>
  <c r="J60" i="2"/>
  <c r="I60" i="2"/>
  <c r="H60" i="2"/>
  <c r="G60" i="2"/>
  <c r="F60" i="2"/>
  <c r="E60" i="2"/>
  <c r="P59" i="2"/>
  <c r="O59" i="2"/>
  <c r="N59" i="2"/>
  <c r="M59" i="2"/>
  <c r="L59" i="2"/>
  <c r="K59" i="2"/>
  <c r="J59" i="2"/>
  <c r="I59" i="2"/>
  <c r="H59" i="2"/>
  <c r="G59" i="2"/>
  <c r="F59" i="2"/>
  <c r="E59" i="2"/>
  <c r="P58" i="2"/>
  <c r="O58" i="2"/>
  <c r="N58" i="2"/>
  <c r="M58" i="2"/>
  <c r="L58" i="2"/>
  <c r="K58" i="2"/>
  <c r="J58" i="2"/>
  <c r="I58" i="2"/>
  <c r="H58" i="2"/>
  <c r="G58" i="2"/>
  <c r="F58" i="2"/>
  <c r="E58" i="2"/>
  <c r="P57" i="2"/>
  <c r="O57" i="2"/>
  <c r="N57" i="2"/>
  <c r="M57" i="2"/>
  <c r="L57" i="2"/>
  <c r="K57" i="2"/>
  <c r="J57" i="2"/>
  <c r="I57" i="2"/>
  <c r="H57" i="2"/>
  <c r="G57" i="2"/>
  <c r="F57" i="2"/>
  <c r="E57" i="2"/>
  <c r="P56" i="2"/>
  <c r="O56" i="2"/>
  <c r="N56" i="2"/>
  <c r="M56" i="2"/>
  <c r="L56" i="2"/>
  <c r="K56" i="2"/>
  <c r="J56" i="2"/>
  <c r="I56" i="2"/>
  <c r="H56" i="2"/>
  <c r="G56" i="2"/>
  <c r="F56" i="2"/>
  <c r="E56" i="2"/>
  <c r="P77" i="1"/>
  <c r="O77" i="1"/>
  <c r="N77" i="1"/>
  <c r="M77" i="1"/>
  <c r="L77" i="1"/>
  <c r="K77" i="1"/>
  <c r="J77" i="1"/>
  <c r="I77" i="1"/>
  <c r="H77" i="1"/>
  <c r="G77" i="1"/>
  <c r="F77" i="1"/>
  <c r="E77" i="1"/>
  <c r="P76" i="1"/>
  <c r="O76" i="1"/>
  <c r="N76" i="1"/>
  <c r="M76" i="1"/>
  <c r="L76" i="1"/>
  <c r="K76" i="1"/>
  <c r="J76" i="1"/>
  <c r="I76" i="1"/>
  <c r="H76" i="1"/>
  <c r="G76" i="1"/>
  <c r="F76" i="1"/>
  <c r="E76" i="1"/>
  <c r="P75" i="1"/>
  <c r="O75" i="1"/>
  <c r="N75" i="1"/>
  <c r="M75" i="1"/>
  <c r="L75" i="1"/>
  <c r="K75" i="1"/>
  <c r="J75" i="1"/>
  <c r="I75" i="1"/>
  <c r="H75" i="1"/>
  <c r="G75" i="1"/>
  <c r="F75" i="1"/>
  <c r="E75" i="1"/>
  <c r="P74" i="1"/>
  <c r="O74" i="1"/>
  <c r="N74" i="1"/>
  <c r="M74" i="1"/>
  <c r="L74" i="1"/>
  <c r="K74" i="1"/>
  <c r="J74" i="1"/>
  <c r="I74" i="1"/>
  <c r="H74" i="1"/>
  <c r="G74" i="1"/>
  <c r="F74" i="1"/>
  <c r="E74" i="1"/>
  <c r="P73" i="1"/>
  <c r="O73" i="1"/>
  <c r="N73" i="1"/>
  <c r="M73" i="1"/>
  <c r="L73" i="1"/>
  <c r="K73" i="1"/>
  <c r="J73" i="1"/>
  <c r="I73" i="1"/>
  <c r="H73" i="1"/>
  <c r="G73" i="1"/>
  <c r="F73" i="1"/>
  <c r="E73" i="1"/>
  <c r="P72" i="1"/>
  <c r="O72" i="1"/>
  <c r="N72" i="1"/>
  <c r="M72" i="1"/>
  <c r="L72" i="1"/>
  <c r="K72" i="1"/>
  <c r="J72" i="1"/>
  <c r="I72" i="1"/>
  <c r="H72" i="1"/>
  <c r="G72" i="1"/>
  <c r="F72" i="1"/>
  <c r="E72" i="1"/>
  <c r="R9" i="3" l="1"/>
  <c r="R10" i="3"/>
  <c r="R11" i="3"/>
  <c r="Q8" i="3"/>
  <c r="R8" i="3"/>
  <c r="E70" i="1"/>
  <c r="E34" i="1"/>
  <c r="Q37" i="1"/>
  <c r="R37" i="1"/>
  <c r="Q38" i="1"/>
  <c r="R38" i="1"/>
  <c r="R25" i="1"/>
  <c r="Q26" i="1"/>
  <c r="R26" i="1"/>
  <c r="Q27" i="1"/>
  <c r="R27" i="1"/>
  <c r="R24" i="1"/>
  <c r="F56" i="6"/>
  <c r="G56" i="6"/>
  <c r="H56" i="6"/>
  <c r="I56" i="6"/>
  <c r="J56" i="6"/>
  <c r="K56" i="6"/>
  <c r="L56" i="6"/>
  <c r="M56" i="6"/>
  <c r="N56" i="6"/>
  <c r="O56" i="6"/>
  <c r="P56" i="6"/>
  <c r="F57" i="6"/>
  <c r="G57" i="6"/>
  <c r="H57" i="6"/>
  <c r="I57" i="6"/>
  <c r="J57" i="6"/>
  <c r="K57" i="6"/>
  <c r="L57" i="6"/>
  <c r="M57" i="6"/>
  <c r="N57" i="6"/>
  <c r="O57" i="6"/>
  <c r="P57" i="6"/>
  <c r="F58" i="6"/>
  <c r="G58" i="6"/>
  <c r="H58" i="6"/>
  <c r="I58" i="6"/>
  <c r="J58" i="6"/>
  <c r="K58" i="6"/>
  <c r="L58" i="6"/>
  <c r="M58" i="6"/>
  <c r="N58" i="6"/>
  <c r="O58" i="6"/>
  <c r="P58" i="6"/>
  <c r="F59" i="6"/>
  <c r="G59" i="6"/>
  <c r="H59" i="6"/>
  <c r="I59" i="6"/>
  <c r="J59" i="6"/>
  <c r="K59" i="6"/>
  <c r="L59" i="6"/>
  <c r="M59" i="6"/>
  <c r="N59" i="6"/>
  <c r="O59" i="6"/>
  <c r="P59" i="6"/>
  <c r="F60" i="6"/>
  <c r="G60" i="6"/>
  <c r="H60" i="6"/>
  <c r="I60" i="6"/>
  <c r="J60" i="6"/>
  <c r="K60" i="6"/>
  <c r="L60" i="6"/>
  <c r="M60" i="6"/>
  <c r="N60" i="6"/>
  <c r="O60" i="6"/>
  <c r="P60" i="6"/>
  <c r="F61" i="6"/>
  <c r="G61" i="6"/>
  <c r="H61" i="6"/>
  <c r="I61" i="6"/>
  <c r="J61" i="6"/>
  <c r="K61" i="6"/>
  <c r="L61" i="6"/>
  <c r="M61" i="6"/>
  <c r="N61" i="6"/>
  <c r="O61" i="6"/>
  <c r="P61" i="6"/>
  <c r="E61" i="6"/>
  <c r="E60" i="6"/>
  <c r="E59" i="6"/>
  <c r="E58" i="6"/>
  <c r="E57" i="6"/>
  <c r="E56" i="6"/>
  <c r="Q21" i="6"/>
  <c r="R21" i="6"/>
  <c r="Q22" i="6"/>
  <c r="R22" i="6"/>
  <c r="Q9" i="6"/>
  <c r="R9" i="6"/>
  <c r="Q10" i="6"/>
  <c r="R10" i="6"/>
  <c r="Q11" i="6"/>
  <c r="R11" i="6"/>
  <c r="R8" i="6"/>
  <c r="Q8" i="6"/>
  <c r="R22" i="2"/>
  <c r="Q22" i="2"/>
  <c r="R21" i="2"/>
  <c r="Q21" i="2"/>
  <c r="Q9" i="2"/>
  <c r="R9" i="2"/>
  <c r="Q10" i="2"/>
  <c r="R10" i="2"/>
  <c r="Q11" i="2"/>
  <c r="R11" i="2"/>
  <c r="Q8" i="2"/>
  <c r="R8" i="2"/>
  <c r="R22" i="4"/>
  <c r="Q22" i="4"/>
  <c r="R21" i="4"/>
  <c r="Q21" i="4"/>
  <c r="Q9" i="4"/>
  <c r="R9" i="4"/>
  <c r="Q10" i="4"/>
  <c r="R10" i="4"/>
  <c r="Q11" i="4"/>
  <c r="R11" i="4"/>
  <c r="R8" i="4"/>
  <c r="Q8" i="4"/>
  <c r="P55" i="4"/>
  <c r="O55" i="4"/>
  <c r="N55" i="4"/>
  <c r="M55" i="4"/>
  <c r="L55" i="4"/>
  <c r="K55" i="4"/>
  <c r="J55" i="4"/>
  <c r="I55" i="4"/>
  <c r="H55" i="4"/>
  <c r="G55" i="4"/>
  <c r="F55" i="4"/>
  <c r="E55" i="4"/>
  <c r="P54" i="4"/>
  <c r="O54" i="4"/>
  <c r="N54" i="4"/>
  <c r="M54" i="4"/>
  <c r="L54" i="4"/>
  <c r="K54" i="4"/>
  <c r="J54" i="4"/>
  <c r="I54" i="4"/>
  <c r="H54" i="4"/>
  <c r="G54" i="4"/>
  <c r="F54" i="4"/>
  <c r="E54" i="4"/>
  <c r="P43" i="4"/>
  <c r="O43" i="4"/>
  <c r="N43" i="4"/>
  <c r="M43" i="4"/>
  <c r="L43" i="4"/>
  <c r="K43" i="4"/>
  <c r="J43" i="4"/>
  <c r="I43" i="4"/>
  <c r="H43" i="4"/>
  <c r="G43" i="4"/>
  <c r="F43" i="4"/>
  <c r="E43" i="4"/>
  <c r="P42" i="4"/>
  <c r="O42" i="4"/>
  <c r="N42" i="4"/>
  <c r="M42" i="4"/>
  <c r="L42" i="4"/>
  <c r="K42" i="4"/>
  <c r="J42" i="4"/>
  <c r="I42" i="4"/>
  <c r="H42" i="4"/>
  <c r="G42" i="4"/>
  <c r="F42" i="4"/>
  <c r="E42" i="4"/>
  <c r="P31" i="4"/>
  <c r="O31" i="4"/>
  <c r="N31" i="4"/>
  <c r="M31" i="4"/>
  <c r="L31" i="4"/>
  <c r="K31" i="4"/>
  <c r="J31" i="4"/>
  <c r="I31" i="4"/>
  <c r="H31" i="4"/>
  <c r="G31" i="4"/>
  <c r="F31" i="4"/>
  <c r="E31" i="4"/>
  <c r="P30" i="4"/>
  <c r="O30" i="4"/>
  <c r="N30" i="4"/>
  <c r="M30" i="4"/>
  <c r="L30" i="4"/>
  <c r="K30" i="4"/>
  <c r="J30" i="4"/>
  <c r="I30" i="4"/>
  <c r="H30" i="4"/>
  <c r="G30" i="4"/>
  <c r="F30" i="4"/>
  <c r="E30" i="4"/>
  <c r="P19" i="4"/>
  <c r="O19" i="4"/>
  <c r="N19" i="4"/>
  <c r="M19" i="4"/>
  <c r="L19" i="4"/>
  <c r="K19" i="4"/>
  <c r="J19" i="4"/>
  <c r="I19" i="4"/>
  <c r="H19" i="4"/>
  <c r="G19" i="4"/>
  <c r="P18" i="4"/>
  <c r="O18" i="4"/>
  <c r="N18" i="4"/>
  <c r="M18" i="4"/>
  <c r="L18" i="4"/>
  <c r="K18" i="4"/>
  <c r="J18" i="4"/>
  <c r="I18" i="4"/>
  <c r="H18" i="4"/>
  <c r="G18" i="4"/>
  <c r="F19" i="4"/>
  <c r="F18" i="4"/>
  <c r="E19" i="4"/>
  <c r="E18" i="4"/>
  <c r="F56" i="3"/>
  <c r="G56" i="3"/>
  <c r="H56" i="3"/>
  <c r="I56" i="3"/>
  <c r="J56" i="3"/>
  <c r="K56" i="3"/>
  <c r="L56" i="3"/>
  <c r="M56" i="3"/>
  <c r="N56" i="3"/>
  <c r="O56" i="3"/>
  <c r="P56" i="3"/>
  <c r="F57" i="3"/>
  <c r="G57" i="3"/>
  <c r="H57" i="3"/>
  <c r="I57" i="3"/>
  <c r="J57" i="3"/>
  <c r="K57" i="3"/>
  <c r="L57" i="3"/>
  <c r="M57" i="3"/>
  <c r="N57" i="3"/>
  <c r="O57" i="3"/>
  <c r="P57" i="3"/>
  <c r="F58" i="3"/>
  <c r="G58" i="3"/>
  <c r="H58" i="3"/>
  <c r="I58" i="3"/>
  <c r="J58" i="3"/>
  <c r="K58" i="3"/>
  <c r="L58" i="3"/>
  <c r="M58" i="3"/>
  <c r="N58" i="3"/>
  <c r="O58" i="3"/>
  <c r="P58" i="3"/>
  <c r="F59" i="3"/>
  <c r="G59" i="3"/>
  <c r="H59" i="3"/>
  <c r="I59" i="3"/>
  <c r="J59" i="3"/>
  <c r="K59" i="3"/>
  <c r="L59" i="3"/>
  <c r="M59" i="3"/>
  <c r="N59" i="3"/>
  <c r="O59" i="3"/>
  <c r="P59" i="3"/>
  <c r="F60" i="3"/>
  <c r="G60" i="3"/>
  <c r="H60" i="3"/>
  <c r="I60" i="3"/>
  <c r="J60" i="3"/>
  <c r="K60" i="3"/>
  <c r="L60" i="3"/>
  <c r="M60" i="3"/>
  <c r="N60" i="3"/>
  <c r="O60" i="3"/>
  <c r="P60" i="3"/>
  <c r="F61" i="3"/>
  <c r="G61" i="3"/>
  <c r="H61" i="3"/>
  <c r="I61" i="3"/>
  <c r="J61" i="3"/>
  <c r="K61" i="3"/>
  <c r="L61" i="3"/>
  <c r="M61" i="3"/>
  <c r="N61" i="3"/>
  <c r="O61" i="3"/>
  <c r="P61" i="3"/>
  <c r="E61" i="3"/>
  <c r="E60" i="3"/>
  <c r="E59" i="3"/>
  <c r="E58" i="3"/>
  <c r="E57" i="3"/>
  <c r="E56" i="3"/>
  <c r="P55" i="3"/>
  <c r="O55" i="3"/>
  <c r="N55" i="3"/>
  <c r="M55" i="3"/>
  <c r="L55" i="3"/>
  <c r="K55" i="3"/>
  <c r="J55" i="3"/>
  <c r="I55" i="3"/>
  <c r="H55" i="3"/>
  <c r="G55" i="3"/>
  <c r="F55" i="3"/>
  <c r="E55" i="3"/>
  <c r="P54" i="3"/>
  <c r="O54" i="3"/>
  <c r="N54" i="3"/>
  <c r="M54" i="3"/>
  <c r="L54" i="3"/>
  <c r="K54" i="3"/>
  <c r="J54" i="3"/>
  <c r="I54" i="3"/>
  <c r="H54" i="3"/>
  <c r="G54" i="3"/>
  <c r="F54" i="3"/>
  <c r="E54" i="3"/>
  <c r="P43" i="3"/>
  <c r="O43" i="3"/>
  <c r="N43" i="3"/>
  <c r="M43" i="3"/>
  <c r="L43" i="3"/>
  <c r="K43" i="3"/>
  <c r="J43" i="3"/>
  <c r="I43" i="3"/>
  <c r="H43" i="3"/>
  <c r="G43" i="3"/>
  <c r="F43" i="3"/>
  <c r="E43" i="3"/>
  <c r="P42" i="3"/>
  <c r="O42" i="3"/>
  <c r="N42" i="3"/>
  <c r="M42" i="3"/>
  <c r="L42" i="3"/>
  <c r="K42" i="3"/>
  <c r="J42" i="3"/>
  <c r="I42" i="3"/>
  <c r="H42" i="3"/>
  <c r="G42" i="3"/>
  <c r="F42" i="3"/>
  <c r="E42" i="3"/>
  <c r="P31" i="3"/>
  <c r="O31" i="3"/>
  <c r="N31" i="3"/>
  <c r="M31" i="3"/>
  <c r="L31" i="3"/>
  <c r="K31" i="3"/>
  <c r="J31" i="3"/>
  <c r="I31" i="3"/>
  <c r="H31" i="3"/>
  <c r="G31" i="3"/>
  <c r="F31" i="3"/>
  <c r="E31" i="3"/>
  <c r="P30" i="3"/>
  <c r="O30" i="3"/>
  <c r="N30" i="3"/>
  <c r="M30" i="3"/>
  <c r="L30" i="3"/>
  <c r="K30" i="3"/>
  <c r="J30" i="3"/>
  <c r="I30" i="3"/>
  <c r="H30" i="3"/>
  <c r="G30" i="3"/>
  <c r="F30" i="3"/>
  <c r="E30" i="3"/>
  <c r="P19" i="3"/>
  <c r="O19" i="3"/>
  <c r="N19" i="3"/>
  <c r="M19" i="3"/>
  <c r="L19" i="3"/>
  <c r="K19" i="3"/>
  <c r="J19" i="3"/>
  <c r="I19" i="3"/>
  <c r="H19" i="3"/>
  <c r="G19" i="3"/>
  <c r="P18" i="3"/>
  <c r="O18" i="3"/>
  <c r="N18" i="3"/>
  <c r="M18" i="3"/>
  <c r="L18" i="3"/>
  <c r="K18" i="3"/>
  <c r="J18" i="3"/>
  <c r="I18" i="3"/>
  <c r="H18" i="3"/>
  <c r="G18" i="3"/>
  <c r="F19" i="3"/>
  <c r="F18" i="3"/>
  <c r="E19" i="3"/>
  <c r="E18" i="3"/>
  <c r="R22" i="3"/>
  <c r="Q22" i="3"/>
  <c r="R21" i="3"/>
  <c r="Q21" i="3"/>
  <c r="Q9" i="3"/>
  <c r="Q10" i="3"/>
  <c r="Q11" i="3"/>
  <c r="N59" i="1"/>
  <c r="N58" i="1"/>
  <c r="M59" i="1"/>
  <c r="M58" i="1"/>
  <c r="M70" i="1"/>
  <c r="Q54" i="4" l="1"/>
  <c r="Q77" i="1"/>
  <c r="Q31" i="4"/>
  <c r="R42" i="4"/>
  <c r="R54" i="4"/>
  <c r="Q55" i="4"/>
  <c r="R77" i="1"/>
  <c r="Q74" i="1"/>
  <c r="Q72" i="1"/>
  <c r="Q73" i="1"/>
  <c r="R74" i="1"/>
  <c r="R73" i="1"/>
  <c r="R72" i="1"/>
  <c r="Q76" i="1"/>
  <c r="Q75" i="1"/>
  <c r="R76" i="1"/>
  <c r="R75" i="1"/>
  <c r="R55" i="4"/>
  <c r="Q42" i="4"/>
  <c r="Q61" i="4"/>
  <c r="R61" i="4"/>
  <c r="Q43" i="4"/>
  <c r="Q30" i="4"/>
  <c r="Q59" i="4"/>
  <c r="Q60" i="4"/>
  <c r="R59" i="4"/>
  <c r="R60" i="4"/>
  <c r="R31" i="4"/>
  <c r="Q58" i="4"/>
  <c r="Q56" i="4"/>
  <c r="Q57" i="4"/>
  <c r="R58" i="4"/>
  <c r="R56" i="4"/>
  <c r="R57" i="4"/>
  <c r="R61" i="2"/>
  <c r="Q61" i="2"/>
  <c r="Q60" i="2"/>
  <c r="Q59" i="2"/>
  <c r="R60" i="2"/>
  <c r="R59" i="2"/>
  <c r="R58" i="2"/>
  <c r="R57" i="2"/>
  <c r="R56" i="2"/>
  <c r="Q58" i="2"/>
  <c r="Q57" i="2"/>
  <c r="Q56" i="2"/>
  <c r="R58" i="6"/>
  <c r="R61" i="6"/>
  <c r="Q61" i="6"/>
  <c r="Q59" i="6"/>
  <c r="R59" i="6"/>
  <c r="Q56" i="6"/>
  <c r="R57" i="6"/>
  <c r="R56" i="6"/>
  <c r="R60" i="6"/>
  <c r="Q60" i="6"/>
  <c r="Q58" i="6"/>
  <c r="Q57" i="6"/>
  <c r="R46" i="1"/>
  <c r="R61" i="3"/>
  <c r="R31" i="3"/>
  <c r="R42" i="3"/>
  <c r="Q61" i="3"/>
  <c r="Q55" i="3"/>
  <c r="R18" i="3"/>
  <c r="R56" i="3"/>
  <c r="R55" i="3"/>
  <c r="Q42" i="3"/>
  <c r="Q56" i="3"/>
  <c r="Q59" i="3"/>
  <c r="Q19" i="3"/>
  <c r="Q18" i="3"/>
  <c r="R19" i="3"/>
  <c r="Q30" i="3"/>
  <c r="Q43" i="3"/>
  <c r="R30" i="3"/>
  <c r="R43" i="3"/>
  <c r="R60" i="3"/>
  <c r="Q60" i="3"/>
  <c r="R59" i="3"/>
  <c r="Q31" i="3"/>
  <c r="Q54" i="3"/>
  <c r="R54" i="3"/>
  <c r="R58" i="3"/>
  <c r="Q58" i="3"/>
  <c r="R57" i="3"/>
  <c r="Q57" i="3"/>
  <c r="R43" i="4"/>
  <c r="R30" i="4"/>
  <c r="Q18" i="4"/>
  <c r="Q19" i="4"/>
  <c r="R18" i="4"/>
  <c r="R19" i="4"/>
  <c r="P55" i="2"/>
  <c r="O55" i="2"/>
  <c r="N55" i="2"/>
  <c r="M55" i="2"/>
  <c r="L55" i="2"/>
  <c r="K55" i="2"/>
  <c r="J55" i="2"/>
  <c r="I55" i="2"/>
  <c r="H55" i="2"/>
  <c r="G55" i="2"/>
  <c r="F55" i="2"/>
  <c r="E55" i="2"/>
  <c r="P54" i="2"/>
  <c r="O54" i="2"/>
  <c r="N54" i="2"/>
  <c r="M54" i="2"/>
  <c r="L54" i="2"/>
  <c r="K54" i="2"/>
  <c r="J54" i="2"/>
  <c r="I54" i="2"/>
  <c r="H54" i="2"/>
  <c r="G54" i="2"/>
  <c r="F54" i="2"/>
  <c r="E54" i="2"/>
  <c r="P55" i="6"/>
  <c r="O55" i="6"/>
  <c r="N55" i="6"/>
  <c r="M55" i="6"/>
  <c r="L55" i="6"/>
  <c r="K55" i="6"/>
  <c r="J55" i="6"/>
  <c r="I55" i="6"/>
  <c r="H55" i="6"/>
  <c r="G55" i="6"/>
  <c r="F55" i="6"/>
  <c r="E55" i="6"/>
  <c r="P54" i="6"/>
  <c r="O54" i="6"/>
  <c r="N54" i="6"/>
  <c r="M54" i="6"/>
  <c r="L54" i="6"/>
  <c r="K54" i="6"/>
  <c r="J54" i="6"/>
  <c r="I54" i="6"/>
  <c r="H54" i="6"/>
  <c r="G54" i="6"/>
  <c r="F54" i="6"/>
  <c r="E54" i="6"/>
  <c r="P71" i="1"/>
  <c r="O71" i="1"/>
  <c r="N71" i="1"/>
  <c r="M71" i="1"/>
  <c r="L71" i="1"/>
  <c r="K71" i="1"/>
  <c r="J71" i="1"/>
  <c r="I71" i="1"/>
  <c r="H71" i="1"/>
  <c r="G71" i="1"/>
  <c r="F71" i="1"/>
  <c r="E71" i="1"/>
  <c r="P70" i="1"/>
  <c r="O70" i="1"/>
  <c r="N70" i="1"/>
  <c r="L70" i="1"/>
  <c r="K70" i="1"/>
  <c r="J70" i="1"/>
  <c r="I70" i="1"/>
  <c r="H70" i="1"/>
  <c r="G70" i="1"/>
  <c r="F70" i="1"/>
  <c r="R55" i="6" l="1"/>
  <c r="R55" i="2"/>
  <c r="R54" i="2"/>
  <c r="R54" i="6"/>
  <c r="Q54" i="6"/>
  <c r="R71" i="1"/>
  <c r="Q55" i="2"/>
  <c r="Q54" i="2"/>
  <c r="Q55" i="6"/>
  <c r="Q70" i="1"/>
  <c r="Q71" i="1"/>
  <c r="R70" i="1"/>
  <c r="E59" i="1" l="1"/>
  <c r="P43" i="2"/>
  <c r="O43" i="2"/>
  <c r="N43" i="2"/>
  <c r="M43" i="2"/>
  <c r="L43" i="2"/>
  <c r="K43" i="2"/>
  <c r="J43" i="2"/>
  <c r="I43" i="2"/>
  <c r="H43" i="2"/>
  <c r="G43" i="2"/>
  <c r="F43" i="2"/>
  <c r="E43" i="2"/>
  <c r="P42" i="2"/>
  <c r="O42" i="2"/>
  <c r="N42" i="2"/>
  <c r="M42" i="2"/>
  <c r="L42" i="2"/>
  <c r="K42" i="2"/>
  <c r="J42" i="2"/>
  <c r="I42" i="2"/>
  <c r="H42" i="2"/>
  <c r="G42" i="2"/>
  <c r="F42" i="2"/>
  <c r="E42" i="2"/>
  <c r="P31" i="2"/>
  <c r="O31" i="2"/>
  <c r="N31" i="2"/>
  <c r="M31" i="2"/>
  <c r="L31" i="2"/>
  <c r="K31" i="2"/>
  <c r="J31" i="2"/>
  <c r="I31" i="2"/>
  <c r="H31" i="2"/>
  <c r="G31" i="2"/>
  <c r="F31" i="2"/>
  <c r="E31" i="2"/>
  <c r="P30" i="2"/>
  <c r="O30" i="2"/>
  <c r="N30" i="2"/>
  <c r="M30" i="2"/>
  <c r="L30" i="2"/>
  <c r="K30" i="2"/>
  <c r="J30" i="2"/>
  <c r="I30" i="2"/>
  <c r="H30" i="2"/>
  <c r="G30" i="2"/>
  <c r="F30" i="2"/>
  <c r="E30" i="2"/>
  <c r="P19" i="2"/>
  <c r="O19" i="2"/>
  <c r="N19" i="2"/>
  <c r="M19" i="2"/>
  <c r="L19" i="2"/>
  <c r="K19" i="2"/>
  <c r="J19" i="2"/>
  <c r="I19" i="2"/>
  <c r="H19" i="2"/>
  <c r="G19" i="2"/>
  <c r="F19" i="2"/>
  <c r="E19" i="2"/>
  <c r="P18" i="2"/>
  <c r="O18" i="2"/>
  <c r="N18" i="2"/>
  <c r="M18" i="2"/>
  <c r="L18" i="2"/>
  <c r="K18" i="2"/>
  <c r="J18" i="2"/>
  <c r="I18" i="2"/>
  <c r="H18" i="2"/>
  <c r="G18" i="2"/>
  <c r="F18" i="2"/>
  <c r="E18" i="2"/>
  <c r="Q19" i="2" l="1"/>
  <c r="Q43" i="2"/>
  <c r="R42" i="2"/>
  <c r="Q42" i="2"/>
  <c r="R18" i="2"/>
  <c r="Q30" i="2"/>
  <c r="Q31" i="2"/>
  <c r="R19" i="2"/>
  <c r="Q18" i="2"/>
  <c r="R43" i="2"/>
  <c r="R31" i="2"/>
  <c r="R30" i="2"/>
  <c r="P43" i="6"/>
  <c r="O43" i="6"/>
  <c r="N43" i="6"/>
  <c r="M43" i="6"/>
  <c r="L43" i="6"/>
  <c r="K43" i="6"/>
  <c r="J43" i="6"/>
  <c r="I43" i="6"/>
  <c r="H43" i="6"/>
  <c r="G43" i="6"/>
  <c r="F43" i="6"/>
  <c r="E43" i="6"/>
  <c r="P42" i="6"/>
  <c r="O42" i="6"/>
  <c r="N42" i="6"/>
  <c r="M42" i="6"/>
  <c r="L42" i="6"/>
  <c r="K42" i="6"/>
  <c r="J42" i="6"/>
  <c r="I42" i="6"/>
  <c r="H42" i="6"/>
  <c r="G42" i="6"/>
  <c r="F42" i="6"/>
  <c r="E42" i="6"/>
  <c r="P31" i="6"/>
  <c r="O31" i="6"/>
  <c r="N31" i="6"/>
  <c r="M31" i="6"/>
  <c r="L31" i="6"/>
  <c r="K31" i="6"/>
  <c r="J31" i="6"/>
  <c r="I31" i="6"/>
  <c r="H31" i="6"/>
  <c r="G31" i="6"/>
  <c r="F31" i="6"/>
  <c r="E31" i="6"/>
  <c r="P30" i="6"/>
  <c r="O30" i="6"/>
  <c r="N30" i="6"/>
  <c r="M30" i="6"/>
  <c r="L30" i="6"/>
  <c r="K30" i="6"/>
  <c r="J30" i="6"/>
  <c r="I30" i="6"/>
  <c r="H30" i="6"/>
  <c r="G30" i="6"/>
  <c r="F30" i="6"/>
  <c r="E30" i="6"/>
  <c r="P19" i="6"/>
  <c r="O19" i="6"/>
  <c r="N19" i="6"/>
  <c r="M19" i="6"/>
  <c r="L19" i="6"/>
  <c r="K19" i="6"/>
  <c r="J19" i="6"/>
  <c r="I19" i="6"/>
  <c r="H19" i="6"/>
  <c r="G19" i="6"/>
  <c r="F19" i="6"/>
  <c r="E19" i="6"/>
  <c r="P18" i="6"/>
  <c r="O18" i="6"/>
  <c r="N18" i="6"/>
  <c r="M18" i="6"/>
  <c r="L18" i="6"/>
  <c r="K18" i="6"/>
  <c r="J18" i="6"/>
  <c r="I18" i="6"/>
  <c r="H18" i="6"/>
  <c r="G18" i="6"/>
  <c r="F18" i="6"/>
  <c r="E18" i="6"/>
  <c r="P59" i="1"/>
  <c r="O59" i="1"/>
  <c r="L59" i="1"/>
  <c r="K59" i="1"/>
  <c r="J59" i="1"/>
  <c r="I59" i="1"/>
  <c r="H59" i="1"/>
  <c r="G59" i="1"/>
  <c r="F59" i="1"/>
  <c r="P58" i="1"/>
  <c r="O58" i="1"/>
  <c r="L58" i="1"/>
  <c r="K58" i="1"/>
  <c r="J58" i="1"/>
  <c r="I58" i="1"/>
  <c r="H58" i="1"/>
  <c r="G58" i="1"/>
  <c r="F58" i="1"/>
  <c r="E58" i="1"/>
  <c r="R30" i="6" l="1"/>
  <c r="Q42" i="6"/>
  <c r="Q18" i="6"/>
  <c r="R42" i="6"/>
  <c r="Q19" i="6"/>
  <c r="Q59" i="1"/>
  <c r="R19" i="6"/>
  <c r="R18" i="6"/>
  <c r="Q31" i="6"/>
  <c r="Q43" i="6"/>
  <c r="R31" i="6"/>
  <c r="R43" i="6"/>
  <c r="Q30" i="6"/>
  <c r="R58" i="1"/>
  <c r="Q58" i="1"/>
  <c r="R59" i="1"/>
  <c r="P47" i="1" l="1"/>
  <c r="O47" i="1"/>
  <c r="N47" i="1"/>
  <c r="M47" i="1"/>
  <c r="L47" i="1"/>
  <c r="K47" i="1"/>
  <c r="J47" i="1"/>
  <c r="I47" i="1"/>
  <c r="H47" i="1"/>
  <c r="G47" i="1"/>
  <c r="F47" i="1"/>
  <c r="E47" i="1"/>
  <c r="P46" i="1"/>
  <c r="O46" i="1"/>
  <c r="N46" i="1"/>
  <c r="M46" i="1"/>
  <c r="L46" i="1"/>
  <c r="K46" i="1"/>
  <c r="J46" i="1"/>
  <c r="I46" i="1"/>
  <c r="H46" i="1"/>
  <c r="G46" i="1"/>
  <c r="F46" i="1"/>
  <c r="E46" i="1"/>
  <c r="P35" i="1"/>
  <c r="O35" i="1"/>
  <c r="N35" i="1"/>
  <c r="M35" i="1"/>
  <c r="L35" i="1"/>
  <c r="K35" i="1"/>
  <c r="J35" i="1"/>
  <c r="I35" i="1"/>
  <c r="H35" i="1"/>
  <c r="G35" i="1"/>
  <c r="F35" i="1"/>
  <c r="E35" i="1"/>
  <c r="P34" i="1"/>
  <c r="O34" i="1"/>
  <c r="N34" i="1"/>
  <c r="M34" i="1"/>
  <c r="L34" i="1"/>
  <c r="K34" i="1"/>
  <c r="J34" i="1"/>
  <c r="I34" i="1"/>
  <c r="H34" i="1"/>
  <c r="G34" i="1"/>
  <c r="F34" i="1"/>
  <c r="Q47" i="1" l="1"/>
  <c r="R34" i="1"/>
  <c r="Q35" i="1"/>
  <c r="R47" i="1"/>
  <c r="R35" i="1"/>
  <c r="Q34" i="1"/>
  <c r="Q46" i="1"/>
</calcChain>
</file>

<file path=xl/sharedStrings.xml><?xml version="1.0" encoding="utf-8"?>
<sst xmlns="http://schemas.openxmlformats.org/spreadsheetml/2006/main" count="477" uniqueCount="91">
  <si>
    <t>Study Condition</t>
  </si>
  <si>
    <t>Abbreviations</t>
  </si>
  <si>
    <t>Contact and Grant Acknowledgement</t>
  </si>
  <si>
    <t xml:space="preserve">  1.   Room temperature:</t>
  </si>
  <si>
    <t>22 °C</t>
  </si>
  <si>
    <t xml:space="preserve">  2.   Humidity:</t>
  </si>
  <si>
    <t xml:space="preserve">  3.   Sound (backgroud):</t>
  </si>
  <si>
    <t xml:space="preserve">  4.   Light intensity:</t>
  </si>
  <si>
    <t xml:space="preserve">  5.   Strain/gender</t>
  </si>
  <si>
    <t xml:space="preserve">  6.   Groups:</t>
  </si>
  <si>
    <t>Noldus Ethovision XT</t>
  </si>
  <si>
    <t xml:space="preserve">  1.   Distance Traveled:</t>
  </si>
  <si>
    <t xml:space="preserve">Total distance the animal traveled </t>
  </si>
  <si>
    <t xml:space="preserve">  2.   Average Velocity:</t>
  </si>
  <si>
    <t>Average velocity the animals traveled</t>
  </si>
  <si>
    <t xml:space="preserve">  3.   In Zone Frequency:</t>
  </si>
  <si>
    <t>Frequency of the animals entering each</t>
  </si>
  <si>
    <t>zone</t>
  </si>
  <si>
    <t xml:space="preserve">  4.   In Zone Duration:</t>
  </si>
  <si>
    <t>Time the animal spent in each zone</t>
  </si>
  <si>
    <t xml:space="preserve">  5.   Rearing Supported:</t>
  </si>
  <si>
    <t>with support (i.e. along the wall)</t>
  </si>
  <si>
    <t xml:space="preserve">  6.   Movement:</t>
  </si>
  <si>
    <t xml:space="preserve">Percentage of total time the animal was </t>
  </si>
  <si>
    <t>moving or stationary</t>
  </si>
  <si>
    <t xml:space="preserve">1.  If you have any questions regarding the study procedures and the calculation </t>
  </si>
  <si>
    <t xml:space="preserve">2.  If you have any questions regarding the charges of the services or other administrative </t>
  </si>
  <si>
    <t xml:space="preserve">3.  If you include these results in any publications, please mention us as the  "University of </t>
  </si>
  <si>
    <t xml:space="preserve">     Michigan Animal Phenotyping Core" for conducting the study. The study was supported </t>
  </si>
  <si>
    <t xml:space="preserve">     Our productivity and effectiveness as a Core is measured in part by the citation of the </t>
  </si>
  <si>
    <t xml:space="preserve">     grants in published work.</t>
  </si>
  <si>
    <r>
      <t xml:space="preserve">     equations, please contact Nathan Qi at:    </t>
    </r>
    <r>
      <rPr>
        <b/>
        <sz val="10.5"/>
        <color rgb="FFC00000"/>
        <rFont val="Arial"/>
        <family val="2"/>
      </rPr>
      <t>(734) 232-8223 or nathanqi@med.umich.edu</t>
    </r>
  </si>
  <si>
    <t>00:00-05:00</t>
  </si>
  <si>
    <t>05:01-10:00</t>
  </si>
  <si>
    <t>10:01-15:00</t>
  </si>
  <si>
    <t>15:01-20:00</t>
  </si>
  <si>
    <t>20:01-25:00</t>
  </si>
  <si>
    <t>25:01-30:00</t>
  </si>
  <si>
    <t>Total</t>
  </si>
  <si>
    <t>Duration</t>
  </si>
  <si>
    <t>Frequency</t>
  </si>
  <si>
    <t>Animal#</t>
  </si>
  <si>
    <t>Sex/DOB</t>
  </si>
  <si>
    <t>ID</t>
  </si>
  <si>
    <t>(%)</t>
  </si>
  <si>
    <t>(times)</t>
  </si>
  <si>
    <t>Group 1</t>
  </si>
  <si>
    <t>Avg</t>
  </si>
  <si>
    <t>se</t>
  </si>
  <si>
    <t>Group 2</t>
  </si>
  <si>
    <t>2-Tail T-Test</t>
  </si>
  <si>
    <t>(G1 vs. G2)</t>
  </si>
  <si>
    <t>Distance</t>
  </si>
  <si>
    <t>Velocity</t>
  </si>
  <si>
    <t>(cm)</t>
  </si>
  <si>
    <t>(cm/s)</t>
  </si>
  <si>
    <t>Moving</t>
  </si>
  <si>
    <t>Not Moving</t>
  </si>
  <si>
    <t>Group 3</t>
  </si>
  <si>
    <t>(G1 vs. G3)</t>
  </si>
  <si>
    <t>(G2 vs. G3)</t>
  </si>
  <si>
    <t>35.3-45.4 dB</t>
  </si>
  <si>
    <r>
      <t xml:space="preserve">     work, please contact Zhe Wu at:   </t>
    </r>
    <r>
      <rPr>
        <b/>
        <sz val="10.5"/>
        <color rgb="FFC00000"/>
        <rFont val="Arial"/>
        <family val="2"/>
      </rPr>
      <t xml:space="preserve"> (734) 764-7043 or zhewu@med.umich.edu</t>
    </r>
    <r>
      <rPr>
        <b/>
        <sz val="10.5"/>
        <color theme="1"/>
        <rFont val="Arial"/>
        <family val="2"/>
      </rPr>
      <t xml:space="preserve">  </t>
    </r>
  </si>
  <si>
    <t xml:space="preserve">Time or frequency the animal had rearing </t>
  </si>
  <si>
    <t>Group 4</t>
  </si>
  <si>
    <t>(G1 vs. G4)</t>
  </si>
  <si>
    <t>(G2 vs. G4)</t>
  </si>
  <si>
    <t>(G3 vs. G4)</t>
  </si>
  <si>
    <t>1 hour prior to testing</t>
  </si>
  <si>
    <t>10:00 am to 3pm, 30 min each subject</t>
  </si>
  <si>
    <t>45x45x30 (cm3)</t>
  </si>
  <si>
    <t>Total (Average)</t>
  </si>
  <si>
    <r>
      <t xml:space="preserve">     by NIDDK Mouse Metabolic Phenotyping Center (MMPC-</t>
    </r>
    <r>
      <rPr>
        <b/>
        <i/>
        <sz val="10.5"/>
        <color theme="1"/>
        <rFont val="Arial"/>
        <family val="2"/>
      </rPr>
      <t>Live</t>
    </r>
    <r>
      <rPr>
        <b/>
        <sz val="10.5"/>
        <color theme="1"/>
        <rFont val="Arial"/>
        <family val="2"/>
      </rPr>
      <t xml:space="preserve">): </t>
    </r>
    <r>
      <rPr>
        <b/>
        <sz val="10.5"/>
        <color rgb="FFC00000"/>
        <rFont val="Arial"/>
        <family val="2"/>
      </rPr>
      <t>1U2CDK110768</t>
    </r>
    <r>
      <rPr>
        <b/>
        <sz val="10.5"/>
        <color theme="1"/>
        <rFont val="Arial"/>
        <family val="2"/>
      </rPr>
      <t xml:space="preserve">. </t>
    </r>
  </si>
  <si>
    <t>300 lux</t>
  </si>
  <si>
    <t>C57BL6/J Male</t>
  </si>
  <si>
    <t>2) HFD CUS</t>
  </si>
  <si>
    <t>1) HFD CON</t>
  </si>
  <si>
    <t>1) High Fat Diet</t>
  </si>
  <si>
    <t xml:space="preserve">  7.   Diet:</t>
  </si>
  <si>
    <t xml:space="preserve">        (wt%, Protein/Carb/Fat)</t>
  </si>
  <si>
    <t xml:space="preserve">  8.   Acclimation Time:</t>
  </si>
  <si>
    <t xml:space="preserve"> 10.  Tracking Software:</t>
  </si>
  <si>
    <t xml:space="preserve"> 11.  Open field box size: </t>
  </si>
  <si>
    <t>HFD CUS</t>
  </si>
  <si>
    <t>HFD CON</t>
  </si>
  <si>
    <t>M 24-25wks</t>
  </si>
  <si>
    <t xml:space="preserve">  9.  Test Run Time:</t>
  </si>
  <si>
    <t>2025-06-25 ~09-10, 10:00AM</t>
  </si>
  <si>
    <t>(25.0/47.5/5.0)</t>
  </si>
  <si>
    <t>2) LabDiet 5LOD</t>
  </si>
  <si>
    <t>(with 60% Fat D12492)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</si>
</sst>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indexed="13"/>
      <name val="Arial"/>
      <family val="2"/>
    </font>
    <font>
      <i/>
      <sz val="10"/>
      <color rgb="FFFFC000"/>
      <name val="Arial"/>
      <family val="2"/>
    </font>
    <font>
      <sz val="16"/>
      <color rgb="FF000099"/>
      <name val="Arial Rounded MT Bold"/>
      <family val="2"/>
    </font>
    <font>
      <b/>
      <sz val="10.5"/>
      <color theme="1"/>
      <name val="Arial"/>
      <family val="2"/>
    </font>
    <font>
      <b/>
      <sz val="10.5"/>
      <name val="Arial"/>
      <family val="2"/>
    </font>
    <font>
      <b/>
      <sz val="10.5"/>
      <color rgb="FFC00000"/>
      <name val="Arial"/>
      <family val="2"/>
    </font>
    <font>
      <b/>
      <sz val="11"/>
      <color theme="1"/>
      <name val="Arial"/>
      <family val="2"/>
    </font>
    <font>
      <b/>
      <sz val="16"/>
      <color rgb="FF000099"/>
      <name val="Arial"/>
      <family val="2"/>
    </font>
    <font>
      <b/>
      <sz val="16"/>
      <color rgb="FF0000CC"/>
      <name val="Arial"/>
      <family val="2"/>
    </font>
    <font>
      <b/>
      <sz val="12"/>
      <color indexed="9"/>
      <name val="Arial"/>
      <family val="2"/>
    </font>
    <font>
      <b/>
      <sz val="10.5"/>
      <color theme="1"/>
      <name val="Arial Narrow"/>
      <family val="2"/>
    </font>
    <font>
      <sz val="10.5"/>
      <color theme="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color rgb="FFC00000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sz val="10"/>
      <color rgb="FF0000CC"/>
      <name val="Arial"/>
      <family val="2"/>
    </font>
    <font>
      <b/>
      <i/>
      <sz val="10.5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7">
    <xf numFmtId="0" fontId="0" fillId="0" borderId="0" xfId="0"/>
    <xf numFmtId="0" fontId="0" fillId="2" borderId="0" xfId="0" applyFill="1"/>
    <xf numFmtId="0" fontId="0" fillId="2" borderId="0" xfId="0" applyFill="1" applyProtection="1">
      <protection hidden="1"/>
    </xf>
    <xf numFmtId="0" fontId="5" fillId="3" borderId="1" xfId="0" applyFont="1" applyFill="1" applyBorder="1" applyProtection="1">
      <protection hidden="1"/>
    </xf>
    <xf numFmtId="0" fontId="5" fillId="3" borderId="0" xfId="0" applyFont="1" applyFill="1" applyProtection="1">
      <protection hidden="1"/>
    </xf>
    <xf numFmtId="0" fontId="6" fillId="3" borderId="0" xfId="0" applyFont="1" applyFill="1" applyProtection="1">
      <protection hidden="1"/>
    </xf>
    <xf numFmtId="0" fontId="5" fillId="3" borderId="2" xfId="0" applyFont="1" applyFill="1" applyBorder="1" applyProtection="1">
      <protection hidden="1"/>
    </xf>
    <xf numFmtId="9" fontId="6" fillId="3" borderId="0" xfId="0" applyNumberFormat="1" applyFont="1" applyFill="1" applyAlignment="1" applyProtection="1">
      <alignment horizontal="left"/>
      <protection hidden="1"/>
    </xf>
    <xf numFmtId="0" fontId="5" fillId="3" borderId="6" xfId="0" applyFont="1" applyFill="1" applyBorder="1" applyProtection="1">
      <protection hidden="1"/>
    </xf>
    <xf numFmtId="0" fontId="5" fillId="3" borderId="7" xfId="0" applyFont="1" applyFill="1" applyBorder="1" applyProtection="1">
      <protection hidden="1"/>
    </xf>
    <xf numFmtId="0" fontId="5" fillId="3" borderId="8" xfId="0" applyFont="1" applyFill="1" applyBorder="1" applyProtection="1">
      <protection hidden="1"/>
    </xf>
    <xf numFmtId="0" fontId="0" fillId="3" borderId="9" xfId="0" applyFill="1" applyBorder="1" applyProtection="1">
      <protection hidden="1"/>
    </xf>
    <xf numFmtId="0" fontId="0" fillId="3" borderId="10" xfId="0" applyFill="1" applyBorder="1" applyProtection="1">
      <protection hidden="1"/>
    </xf>
    <xf numFmtId="0" fontId="0" fillId="3" borderId="11" xfId="0" applyFill="1" applyBorder="1" applyProtection="1">
      <protection hidden="1"/>
    </xf>
    <xf numFmtId="0" fontId="9" fillId="3" borderId="1" xfId="0" applyFont="1" applyFill="1" applyBorder="1" applyProtection="1">
      <protection hidden="1"/>
    </xf>
    <xf numFmtId="0" fontId="10" fillId="3" borderId="0" xfId="0" applyFont="1" applyFill="1" applyProtection="1">
      <protection hidden="1"/>
    </xf>
    <xf numFmtId="0" fontId="11" fillId="3" borderId="0" xfId="0" applyFont="1" applyFill="1" applyProtection="1">
      <protection hidden="1"/>
    </xf>
    <xf numFmtId="0" fontId="0" fillId="3" borderId="0" xfId="0" applyFill="1" applyProtection="1">
      <protection hidden="1"/>
    </xf>
    <xf numFmtId="2" fontId="0" fillId="3" borderId="0" xfId="0" applyNumberFormat="1" applyFill="1" applyProtection="1">
      <protection hidden="1"/>
    </xf>
    <xf numFmtId="0" fontId="0" fillId="3" borderId="2" xfId="0" applyFill="1" applyBorder="1" applyProtection="1">
      <protection hidden="1"/>
    </xf>
    <xf numFmtId="0" fontId="8" fillId="3" borderId="9" xfId="0" applyFont="1" applyFill="1" applyBorder="1" applyAlignment="1" applyProtection="1">
      <alignment vertical="center"/>
      <protection hidden="1"/>
    </xf>
    <xf numFmtId="0" fontId="8" fillId="3" borderId="10" xfId="0" applyFont="1" applyFill="1" applyBorder="1" applyAlignment="1" applyProtection="1">
      <alignment vertical="center"/>
      <protection hidden="1"/>
    </xf>
    <xf numFmtId="0" fontId="8" fillId="3" borderId="11" xfId="0" applyFont="1" applyFill="1" applyBorder="1" applyAlignment="1" applyProtection="1">
      <alignment vertical="center"/>
      <protection hidden="1"/>
    </xf>
    <xf numFmtId="0" fontId="8" fillId="3" borderId="1" xfId="0" applyFont="1" applyFill="1" applyBorder="1" applyAlignment="1" applyProtection="1">
      <alignment vertical="center"/>
      <protection hidden="1"/>
    </xf>
    <xf numFmtId="0" fontId="8" fillId="3" borderId="0" xfId="0" applyFont="1" applyFill="1" applyAlignment="1" applyProtection="1">
      <alignment vertical="center"/>
      <protection hidden="1"/>
    </xf>
    <xf numFmtId="0" fontId="8" fillId="3" borderId="2" xfId="0" applyFont="1" applyFill="1" applyBorder="1" applyAlignment="1" applyProtection="1">
      <alignment vertical="center"/>
      <protection hidden="1"/>
    </xf>
    <xf numFmtId="0" fontId="5" fillId="3" borderId="9" xfId="0" applyFont="1" applyFill="1" applyBorder="1" applyAlignment="1" applyProtection="1">
      <alignment vertical="center" wrapText="1"/>
      <protection hidden="1"/>
    </xf>
    <xf numFmtId="0" fontId="5" fillId="3" borderId="9" xfId="0" applyFont="1" applyFill="1" applyBorder="1" applyAlignment="1" applyProtection="1">
      <alignment horizontal="center" vertical="center" wrapText="1"/>
      <protection hidden="1"/>
    </xf>
    <xf numFmtId="0" fontId="5" fillId="3" borderId="12" xfId="0" applyFont="1" applyFill="1" applyBorder="1" applyAlignment="1" applyProtection="1">
      <alignment horizontal="center" vertical="center" wrapText="1"/>
      <protection hidden="1"/>
    </xf>
    <xf numFmtId="0" fontId="0" fillId="3" borderId="6" xfId="0" applyFill="1" applyBorder="1" applyProtection="1">
      <protection hidden="1"/>
    </xf>
    <xf numFmtId="0" fontId="8" fillId="3" borderId="7" xfId="0" applyFont="1" applyFill="1" applyBorder="1" applyAlignment="1" applyProtection="1">
      <alignment horizontal="center"/>
      <protection hidden="1"/>
    </xf>
    <xf numFmtId="0" fontId="8" fillId="3" borderId="8" xfId="0" applyFont="1" applyFill="1" applyBorder="1" applyAlignment="1" applyProtection="1">
      <alignment horizontal="center"/>
      <protection hidden="1"/>
    </xf>
    <xf numFmtId="0" fontId="13" fillId="3" borderId="13" xfId="0" applyFont="1" applyFill="1" applyBorder="1" applyAlignment="1" applyProtection="1">
      <alignment horizontal="center" vertical="center" wrapText="1"/>
      <protection hidden="1"/>
    </xf>
    <xf numFmtId="0" fontId="13" fillId="3" borderId="1" xfId="0" applyFont="1" applyFill="1" applyBorder="1" applyAlignment="1" applyProtection="1">
      <alignment horizontal="center" vertical="center" wrapText="1"/>
      <protection hidden="1"/>
    </xf>
    <xf numFmtId="0" fontId="14" fillId="4" borderId="13" xfId="0" applyFont="1" applyFill="1" applyBorder="1" applyAlignment="1" applyProtection="1">
      <alignment horizontal="center"/>
      <protection hidden="1"/>
    </xf>
    <xf numFmtId="0" fontId="14" fillId="4" borderId="13" xfId="0" applyFont="1" applyFill="1" applyBorder="1" applyAlignment="1" applyProtection="1">
      <alignment horizontal="center" wrapText="1"/>
      <protection hidden="1"/>
    </xf>
    <xf numFmtId="0" fontId="14" fillId="5" borderId="12" xfId="0" applyFont="1" applyFill="1" applyBorder="1" applyAlignment="1" applyProtection="1">
      <alignment horizontal="center"/>
      <protection hidden="1"/>
    </xf>
    <xf numFmtId="0" fontId="17" fillId="5" borderId="10" xfId="0" applyFont="1" applyFill="1" applyBorder="1" applyAlignment="1" applyProtection="1">
      <alignment horizontal="center"/>
      <protection hidden="1"/>
    </xf>
    <xf numFmtId="0" fontId="14" fillId="5" borderId="13" xfId="0" applyFont="1" applyFill="1" applyBorder="1" applyAlignment="1" applyProtection="1">
      <alignment horizontal="center" wrapText="1"/>
      <protection hidden="1"/>
    </xf>
    <xf numFmtId="0" fontId="17" fillId="5" borderId="0" xfId="0" applyFont="1" applyFill="1" applyAlignment="1" applyProtection="1">
      <alignment horizontal="center" wrapText="1"/>
      <protection hidden="1"/>
    </xf>
    <xf numFmtId="0" fontId="17" fillId="6" borderId="9" xfId="0" applyFont="1" applyFill="1" applyBorder="1" applyAlignment="1" applyProtection="1">
      <alignment horizontal="center" wrapText="1"/>
      <protection hidden="1"/>
    </xf>
    <xf numFmtId="0" fontId="17" fillId="6" borderId="1" xfId="0" applyFont="1" applyFill="1" applyBorder="1" applyAlignment="1" applyProtection="1">
      <alignment horizontal="center" wrapText="1"/>
      <protection hidden="1"/>
    </xf>
    <xf numFmtId="0" fontId="14" fillId="6" borderId="13" xfId="0" applyFont="1" applyFill="1" applyBorder="1" applyAlignment="1" applyProtection="1">
      <alignment horizontal="center" wrapText="1"/>
      <protection hidden="1"/>
    </xf>
    <xf numFmtId="0" fontId="17" fillId="6" borderId="0" xfId="0" applyFont="1" applyFill="1" applyAlignment="1" applyProtection="1">
      <alignment horizontal="center" wrapText="1"/>
      <protection hidden="1"/>
    </xf>
    <xf numFmtId="0" fontId="0" fillId="3" borderId="7" xfId="0" applyFill="1" applyBorder="1" applyProtection="1">
      <protection hidden="1"/>
    </xf>
    <xf numFmtId="0" fontId="0" fillId="3" borderId="8" xfId="0" applyFill="1" applyBorder="1" applyProtection="1">
      <protection hidden="1"/>
    </xf>
    <xf numFmtId="0" fontId="12" fillId="3" borderId="9" xfId="0" applyFont="1" applyFill="1" applyBorder="1" applyAlignment="1" applyProtection="1">
      <alignment horizontal="center" vertical="center" wrapText="1"/>
      <protection hidden="1"/>
    </xf>
    <xf numFmtId="0" fontId="12" fillId="3" borderId="12" xfId="0" applyFont="1" applyFill="1" applyBorder="1" applyAlignment="1" applyProtection="1">
      <alignment horizontal="center" vertical="center" wrapText="1"/>
      <protection hidden="1"/>
    </xf>
    <xf numFmtId="0" fontId="5" fillId="3" borderId="10" xfId="0" applyFont="1" applyFill="1" applyBorder="1" applyAlignment="1" applyProtection="1">
      <alignment vertical="center" wrapText="1"/>
      <protection hidden="1"/>
    </xf>
    <xf numFmtId="0" fontId="13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1" xfId="0" applyFont="1" applyFill="1" applyBorder="1"/>
    <xf numFmtId="0" fontId="19" fillId="6" borderId="0" xfId="0" applyFont="1" applyFill="1" applyProtection="1">
      <protection hidden="1"/>
    </xf>
    <xf numFmtId="0" fontId="19" fillId="7" borderId="0" xfId="0" applyFont="1" applyFill="1" applyProtection="1">
      <protection hidden="1"/>
    </xf>
    <xf numFmtId="0" fontId="17" fillId="7" borderId="9" xfId="0" applyFont="1" applyFill="1" applyBorder="1" applyAlignment="1" applyProtection="1">
      <alignment horizontal="center" wrapText="1"/>
      <protection hidden="1"/>
    </xf>
    <xf numFmtId="0" fontId="17" fillId="7" borderId="1" xfId="0" applyFont="1" applyFill="1" applyBorder="1" applyAlignment="1" applyProtection="1">
      <alignment horizontal="center" wrapText="1"/>
      <protection hidden="1"/>
    </xf>
    <xf numFmtId="0" fontId="14" fillId="7" borderId="13" xfId="0" applyFont="1" applyFill="1" applyBorder="1" applyAlignment="1" applyProtection="1">
      <alignment horizontal="center" wrapText="1"/>
      <protection hidden="1"/>
    </xf>
    <xf numFmtId="0" fontId="17" fillId="7" borderId="0" xfId="0" applyFont="1" applyFill="1" applyAlignment="1" applyProtection="1">
      <alignment horizontal="center" wrapText="1"/>
      <protection hidden="1"/>
    </xf>
    <xf numFmtId="0" fontId="16" fillId="3" borderId="6" xfId="0" applyFont="1" applyFill="1" applyBorder="1" applyProtection="1">
      <protection hidden="1"/>
    </xf>
    <xf numFmtId="0" fontId="16" fillId="3" borderId="7" xfId="0" applyFont="1" applyFill="1" applyBorder="1" applyProtection="1">
      <protection hidden="1"/>
    </xf>
    <xf numFmtId="0" fontId="15" fillId="3" borderId="7" xfId="0" applyFont="1" applyFill="1" applyBorder="1" applyProtection="1">
      <protection hidden="1"/>
    </xf>
    <xf numFmtId="164" fontId="15" fillId="3" borderId="7" xfId="0" applyNumberFormat="1" applyFont="1" applyFill="1" applyBorder="1" applyAlignment="1" applyProtection="1">
      <alignment horizontal="center"/>
      <protection hidden="1"/>
    </xf>
    <xf numFmtId="164" fontId="18" fillId="3" borderId="7" xfId="0" applyNumberFormat="1" applyFont="1" applyFill="1" applyBorder="1" applyAlignment="1" applyProtection="1">
      <alignment horizontal="center"/>
      <protection hidden="1"/>
    </xf>
    <xf numFmtId="0" fontId="20" fillId="3" borderId="0" xfId="0" applyFont="1" applyFill="1" applyProtection="1">
      <protection hidden="1"/>
    </xf>
    <xf numFmtId="0" fontId="5" fillId="3" borderId="9" xfId="0" applyFont="1" applyFill="1" applyBorder="1" applyProtection="1">
      <protection hidden="1"/>
    </xf>
    <xf numFmtId="0" fontId="5" fillId="3" borderId="10" xfId="0" applyFont="1" applyFill="1" applyBorder="1" applyProtection="1">
      <protection hidden="1"/>
    </xf>
    <xf numFmtId="0" fontId="6" fillId="3" borderId="10" xfId="0" applyFont="1" applyFill="1" applyBorder="1" applyProtection="1">
      <protection hidden="1"/>
    </xf>
    <xf numFmtId="0" fontId="5" fillId="3" borderId="11" xfId="0" applyFont="1" applyFill="1" applyBorder="1" applyProtection="1">
      <protection hidden="1"/>
    </xf>
    <xf numFmtId="0" fontId="2" fillId="0" borderId="1" xfId="1" applyFont="1" applyBorder="1" applyProtection="1">
      <protection hidden="1"/>
    </xf>
    <xf numFmtId="0" fontId="2" fillId="0" borderId="0" xfId="1" applyFont="1" applyProtection="1">
      <protection hidden="1"/>
    </xf>
    <xf numFmtId="0" fontId="2" fillId="0" borderId="2" xfId="1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0" fillId="0" borderId="0" xfId="0" applyProtection="1">
      <protection hidden="1"/>
    </xf>
    <xf numFmtId="0" fontId="0" fillId="3" borderId="1" xfId="0" applyFill="1" applyBorder="1" applyProtection="1">
      <protection hidden="1"/>
    </xf>
    <xf numFmtId="0" fontId="17" fillId="4" borderId="0" xfId="0" applyFont="1" applyFill="1" applyAlignment="1" applyProtection="1">
      <alignment horizontal="center"/>
      <protection hidden="1"/>
    </xf>
    <xf numFmtId="0" fontId="21" fillId="4" borderId="0" xfId="0" applyFont="1" applyFill="1" applyAlignment="1" applyProtection="1">
      <alignment horizontal="left"/>
      <protection hidden="1"/>
    </xf>
    <xf numFmtId="2" fontId="21" fillId="0" borderId="9" xfId="0" applyNumberFormat="1" applyFont="1" applyBorder="1" applyProtection="1">
      <protection hidden="1"/>
    </xf>
    <xf numFmtId="1" fontId="21" fillId="0" borderId="11" xfId="0" applyNumberFormat="1" applyFont="1" applyBorder="1" applyProtection="1">
      <protection hidden="1"/>
    </xf>
    <xf numFmtId="2" fontId="21" fillId="0" borderId="10" xfId="0" applyNumberFormat="1" applyFont="1" applyBorder="1" applyProtection="1">
      <protection hidden="1"/>
    </xf>
    <xf numFmtId="1" fontId="21" fillId="0" borderId="10" xfId="0" applyNumberFormat="1" applyFont="1" applyBorder="1" applyProtection="1">
      <protection hidden="1"/>
    </xf>
    <xf numFmtId="0" fontId="17" fillId="4" borderId="0" xfId="0" applyFont="1" applyFill="1" applyAlignment="1" applyProtection="1">
      <alignment horizontal="center" wrapText="1"/>
      <protection hidden="1"/>
    </xf>
    <xf numFmtId="2" fontId="21" fillId="0" borderId="1" xfId="0" applyNumberFormat="1" applyFont="1" applyBorder="1" applyProtection="1">
      <protection hidden="1"/>
    </xf>
    <xf numFmtId="1" fontId="21" fillId="0" borderId="2" xfId="0" applyNumberFormat="1" applyFont="1" applyBorder="1" applyProtection="1">
      <protection hidden="1"/>
    </xf>
    <xf numFmtId="2" fontId="21" fillId="0" borderId="0" xfId="0" applyNumberFormat="1" applyFont="1" applyProtection="1">
      <protection hidden="1"/>
    </xf>
    <xf numFmtId="1" fontId="21" fillId="0" borderId="0" xfId="0" applyNumberFormat="1" applyFont="1" applyProtection="1">
      <protection hidden="1"/>
    </xf>
    <xf numFmtId="0" fontId="21" fillId="4" borderId="0" xfId="0" applyFont="1" applyFill="1" applyAlignment="1" applyProtection="1">
      <alignment horizontal="center"/>
      <protection hidden="1"/>
    </xf>
    <xf numFmtId="1" fontId="17" fillId="4" borderId="0" xfId="0" applyNumberFormat="1" applyFont="1" applyFill="1" applyAlignment="1" applyProtection="1">
      <alignment horizontal="left"/>
      <protection hidden="1"/>
    </xf>
    <xf numFmtId="2" fontId="21" fillId="0" borderId="2" xfId="0" applyNumberFormat="1" applyFont="1" applyBorder="1" applyProtection="1">
      <protection hidden="1"/>
    </xf>
    <xf numFmtId="0" fontId="21" fillId="0" borderId="0" xfId="0" applyFont="1" applyProtection="1">
      <protection hidden="1"/>
    </xf>
    <xf numFmtId="0" fontId="21" fillId="0" borderId="2" xfId="0" applyFont="1" applyBorder="1" applyProtection="1">
      <protection hidden="1"/>
    </xf>
    <xf numFmtId="2" fontId="21" fillId="0" borderId="6" xfId="0" applyNumberFormat="1" applyFont="1" applyBorder="1" applyProtection="1">
      <protection hidden="1"/>
    </xf>
    <xf numFmtId="2" fontId="21" fillId="0" borderId="8" xfId="0" applyNumberFormat="1" applyFont="1" applyBorder="1" applyProtection="1">
      <protection hidden="1"/>
    </xf>
    <xf numFmtId="0" fontId="21" fillId="0" borderId="7" xfId="0" applyFont="1" applyBorder="1" applyProtection="1">
      <protection hidden="1"/>
    </xf>
    <xf numFmtId="0" fontId="21" fillId="0" borderId="8" xfId="0" applyFont="1" applyBorder="1" applyProtection="1">
      <protection hidden="1"/>
    </xf>
    <xf numFmtId="0" fontId="21" fillId="4" borderId="13" xfId="0" applyFont="1" applyFill="1" applyBorder="1" applyProtection="1">
      <protection hidden="1"/>
    </xf>
    <xf numFmtId="0" fontId="21" fillId="4" borderId="0" xfId="0" applyFont="1" applyFill="1" applyProtection="1">
      <protection hidden="1"/>
    </xf>
    <xf numFmtId="2" fontId="22" fillId="0" borderId="9" xfId="0" applyNumberFormat="1" applyFont="1" applyBorder="1" applyAlignment="1" applyProtection="1">
      <alignment horizontal="center"/>
      <protection hidden="1"/>
    </xf>
    <xf numFmtId="2" fontId="22" fillId="0" borderId="11" xfId="0" applyNumberFormat="1" applyFont="1" applyBorder="1" applyAlignment="1" applyProtection="1">
      <alignment horizontal="center"/>
      <protection hidden="1"/>
    </xf>
    <xf numFmtId="2" fontId="22" fillId="0" borderId="1" xfId="0" applyNumberFormat="1" applyFont="1" applyBorder="1" applyAlignment="1" applyProtection="1">
      <alignment horizontal="center"/>
      <protection hidden="1"/>
    </xf>
    <xf numFmtId="2" fontId="22" fillId="0" borderId="2" xfId="0" applyNumberFormat="1" applyFont="1" applyBorder="1" applyAlignment="1" applyProtection="1">
      <alignment horizontal="center"/>
      <protection hidden="1"/>
    </xf>
    <xf numFmtId="2" fontId="22" fillId="0" borderId="10" xfId="0" applyNumberFormat="1" applyFont="1" applyBorder="1" applyAlignment="1" applyProtection="1">
      <alignment horizontal="center"/>
      <protection hidden="1"/>
    </xf>
    <xf numFmtId="2" fontId="22" fillId="0" borderId="0" xfId="0" applyNumberFormat="1" applyFont="1" applyAlignment="1" applyProtection="1">
      <alignment horizontal="center"/>
      <protection hidden="1"/>
    </xf>
    <xf numFmtId="2" fontId="22" fillId="0" borderId="6" xfId="0" applyNumberFormat="1" applyFont="1" applyBorder="1" applyAlignment="1" applyProtection="1">
      <alignment horizontal="center"/>
      <protection hidden="1"/>
    </xf>
    <xf numFmtId="2" fontId="22" fillId="0" borderId="8" xfId="0" applyNumberFormat="1" applyFont="1" applyBorder="1" applyAlignment="1" applyProtection="1">
      <alignment horizontal="center"/>
      <protection hidden="1"/>
    </xf>
    <xf numFmtId="2" fontId="22" fillId="0" borderId="7" xfId="0" applyNumberFormat="1" applyFont="1" applyBorder="1" applyAlignment="1" applyProtection="1">
      <alignment horizontal="center"/>
      <protection hidden="1"/>
    </xf>
    <xf numFmtId="0" fontId="21" fillId="5" borderId="10" xfId="0" applyFont="1" applyFill="1" applyBorder="1" applyAlignment="1" applyProtection="1">
      <alignment horizontal="left"/>
      <protection hidden="1"/>
    </xf>
    <xf numFmtId="0" fontId="21" fillId="0" borderId="9" xfId="0" applyFont="1" applyBorder="1"/>
    <xf numFmtId="0" fontId="21" fillId="0" borderId="11" xfId="0" applyFont="1" applyBorder="1"/>
    <xf numFmtId="0" fontId="21" fillId="5" borderId="0" xfId="0" applyFont="1" applyFill="1" applyAlignment="1" applyProtection="1">
      <alignment horizontal="left"/>
      <protection hidden="1"/>
    </xf>
    <xf numFmtId="0" fontId="21" fillId="0" borderId="2" xfId="0" applyFont="1" applyBorder="1"/>
    <xf numFmtId="2" fontId="21" fillId="0" borderId="0" xfId="0" applyNumberFormat="1" applyFont="1" applyAlignment="1" applyProtection="1">
      <alignment horizontal="right"/>
      <protection hidden="1"/>
    </xf>
    <xf numFmtId="1" fontId="21" fillId="0" borderId="2" xfId="0" applyNumberFormat="1" applyFont="1" applyBorder="1" applyAlignment="1" applyProtection="1">
      <alignment horizontal="right"/>
      <protection hidden="1"/>
    </xf>
    <xf numFmtId="2" fontId="21" fillId="0" borderId="1" xfId="0" applyNumberFormat="1" applyFont="1" applyBorder="1" applyAlignment="1" applyProtection="1">
      <alignment horizontal="right"/>
      <protection hidden="1"/>
    </xf>
    <xf numFmtId="1" fontId="21" fillId="0" borderId="0" xfId="0" applyNumberFormat="1" applyFont="1" applyAlignment="1" applyProtection="1">
      <alignment horizontal="right"/>
      <protection hidden="1"/>
    </xf>
    <xf numFmtId="1" fontId="17" fillId="5" borderId="2" xfId="0" applyNumberFormat="1" applyFont="1" applyFill="1" applyBorder="1" applyAlignment="1" applyProtection="1">
      <alignment horizontal="left"/>
      <protection hidden="1"/>
    </xf>
    <xf numFmtId="0" fontId="21" fillId="5" borderId="0" xfId="0" applyFont="1" applyFill="1" applyAlignment="1" applyProtection="1">
      <alignment horizontal="center"/>
      <protection hidden="1"/>
    </xf>
    <xf numFmtId="2" fontId="21" fillId="0" borderId="2" xfId="0" applyNumberFormat="1" applyFont="1" applyBorder="1" applyAlignment="1" applyProtection="1">
      <alignment horizontal="right"/>
      <protection hidden="1"/>
    </xf>
    <xf numFmtId="2" fontId="21" fillId="0" borderId="6" xfId="0" applyNumberFormat="1" applyFont="1" applyBorder="1" applyAlignment="1" applyProtection="1">
      <alignment horizontal="right"/>
      <protection hidden="1"/>
    </xf>
    <xf numFmtId="2" fontId="21" fillId="0" borderId="8" xfId="0" applyNumberFormat="1" applyFont="1" applyBorder="1" applyAlignment="1" applyProtection="1">
      <alignment horizontal="right"/>
      <protection hidden="1"/>
    </xf>
    <xf numFmtId="0" fontId="21" fillId="5" borderId="13" xfId="0" applyFont="1" applyFill="1" applyBorder="1" applyProtection="1">
      <protection hidden="1"/>
    </xf>
    <xf numFmtId="0" fontId="21" fillId="5" borderId="0" xfId="0" applyFont="1" applyFill="1" applyProtection="1">
      <protection hidden="1"/>
    </xf>
    <xf numFmtId="0" fontId="17" fillId="5" borderId="2" xfId="0" applyFont="1" applyFill="1" applyBorder="1" applyAlignment="1" applyProtection="1">
      <alignment horizontal="center"/>
      <protection hidden="1"/>
    </xf>
    <xf numFmtId="0" fontId="21" fillId="5" borderId="14" xfId="0" applyFont="1" applyFill="1" applyBorder="1" applyProtection="1">
      <protection hidden="1"/>
    </xf>
    <xf numFmtId="0" fontId="21" fillId="5" borderId="7" xfId="0" applyFont="1" applyFill="1" applyBorder="1" applyProtection="1">
      <protection hidden="1"/>
    </xf>
    <xf numFmtId="0" fontId="17" fillId="5" borderId="8" xfId="0" applyFont="1" applyFill="1" applyBorder="1" applyAlignment="1" applyProtection="1">
      <alignment horizontal="center"/>
      <protection hidden="1"/>
    </xf>
    <xf numFmtId="0" fontId="21" fillId="6" borderId="0" xfId="0" applyFont="1" applyFill="1" applyAlignment="1" applyProtection="1">
      <alignment horizontal="left"/>
      <protection hidden="1"/>
    </xf>
    <xf numFmtId="2" fontId="17" fillId="0" borderId="9" xfId="0" applyNumberFormat="1" applyFont="1" applyBorder="1" applyAlignment="1" applyProtection="1">
      <alignment horizontal="right"/>
      <protection hidden="1"/>
    </xf>
    <xf numFmtId="1" fontId="17" fillId="0" borderId="0" xfId="0" applyNumberFormat="1" applyFont="1" applyAlignment="1" applyProtection="1">
      <alignment horizontal="right"/>
      <protection hidden="1"/>
    </xf>
    <xf numFmtId="1" fontId="17" fillId="0" borderId="11" xfId="0" applyNumberFormat="1" applyFont="1" applyBorder="1" applyAlignment="1" applyProtection="1">
      <alignment horizontal="right"/>
      <protection hidden="1"/>
    </xf>
    <xf numFmtId="2" fontId="17" fillId="0" borderId="0" xfId="0" applyNumberFormat="1" applyFont="1" applyAlignment="1" applyProtection="1">
      <alignment horizontal="right"/>
      <protection hidden="1"/>
    </xf>
    <xf numFmtId="2" fontId="17" fillId="0" borderId="1" xfId="0" applyNumberFormat="1" applyFont="1" applyBorder="1" applyAlignment="1" applyProtection="1">
      <alignment horizontal="right"/>
      <protection hidden="1"/>
    </xf>
    <xf numFmtId="1" fontId="17" fillId="0" borderId="2" xfId="0" applyNumberFormat="1" applyFont="1" applyBorder="1" applyAlignment="1" applyProtection="1">
      <alignment horizontal="right"/>
      <protection hidden="1"/>
    </xf>
    <xf numFmtId="1" fontId="17" fillId="6" borderId="2" xfId="0" applyNumberFormat="1" applyFont="1" applyFill="1" applyBorder="1" applyAlignment="1" applyProtection="1">
      <alignment horizontal="left"/>
      <protection hidden="1"/>
    </xf>
    <xf numFmtId="0" fontId="21" fillId="6" borderId="0" xfId="0" applyFont="1" applyFill="1" applyAlignment="1" applyProtection="1">
      <alignment horizontal="center"/>
      <protection hidden="1"/>
    </xf>
    <xf numFmtId="2" fontId="17" fillId="0" borderId="2" xfId="0" applyNumberFormat="1" applyFont="1" applyBorder="1" applyAlignment="1" applyProtection="1">
      <alignment horizontal="right"/>
      <protection hidden="1"/>
    </xf>
    <xf numFmtId="2" fontId="17" fillId="0" borderId="6" xfId="0" applyNumberFormat="1" applyFont="1" applyBorder="1" applyAlignment="1" applyProtection="1">
      <alignment horizontal="right"/>
      <protection hidden="1"/>
    </xf>
    <xf numFmtId="1" fontId="17" fillId="0" borderId="8" xfId="0" applyNumberFormat="1" applyFont="1" applyBorder="1" applyAlignment="1" applyProtection="1">
      <alignment horizontal="right"/>
      <protection hidden="1"/>
    </xf>
    <xf numFmtId="2" fontId="17" fillId="0" borderId="8" xfId="0" applyNumberFormat="1" applyFont="1" applyBorder="1" applyAlignment="1" applyProtection="1">
      <alignment horizontal="right"/>
      <protection hidden="1"/>
    </xf>
    <xf numFmtId="0" fontId="21" fillId="6" borderId="13" xfId="0" applyFont="1" applyFill="1" applyBorder="1" applyProtection="1">
      <protection hidden="1"/>
    </xf>
    <xf numFmtId="0" fontId="21" fillId="6" borderId="0" xfId="0" applyFont="1" applyFill="1" applyProtection="1">
      <protection hidden="1"/>
    </xf>
    <xf numFmtId="0" fontId="17" fillId="6" borderId="2" xfId="0" applyFont="1" applyFill="1" applyBorder="1" applyAlignment="1" applyProtection="1">
      <alignment horizontal="center"/>
      <protection hidden="1"/>
    </xf>
    <xf numFmtId="0" fontId="21" fillId="6" borderId="14" xfId="0" applyFont="1" applyFill="1" applyBorder="1" applyProtection="1">
      <protection hidden="1"/>
    </xf>
    <xf numFmtId="0" fontId="21" fillId="6" borderId="7" xfId="0" applyFont="1" applyFill="1" applyBorder="1" applyProtection="1">
      <protection hidden="1"/>
    </xf>
    <xf numFmtId="0" fontId="17" fillId="6" borderId="8" xfId="0" applyFont="1" applyFill="1" applyBorder="1" applyAlignment="1" applyProtection="1">
      <alignment horizontal="center"/>
      <protection hidden="1"/>
    </xf>
    <xf numFmtId="0" fontId="21" fillId="7" borderId="0" xfId="0" applyFont="1" applyFill="1" applyAlignment="1" applyProtection="1">
      <alignment horizontal="left"/>
      <protection hidden="1"/>
    </xf>
    <xf numFmtId="1" fontId="17" fillId="7" borderId="2" xfId="0" applyNumberFormat="1" applyFont="1" applyFill="1" applyBorder="1" applyAlignment="1" applyProtection="1">
      <alignment horizontal="left"/>
      <protection hidden="1"/>
    </xf>
    <xf numFmtId="0" fontId="21" fillId="7" borderId="0" xfId="0" applyFont="1" applyFill="1" applyAlignment="1" applyProtection="1">
      <alignment horizontal="center"/>
      <protection hidden="1"/>
    </xf>
    <xf numFmtId="0" fontId="21" fillId="7" borderId="13" xfId="0" applyFont="1" applyFill="1" applyBorder="1" applyProtection="1">
      <protection hidden="1"/>
    </xf>
    <xf numFmtId="0" fontId="21" fillId="7" borderId="0" xfId="0" applyFont="1" applyFill="1" applyProtection="1">
      <protection hidden="1"/>
    </xf>
    <xf numFmtId="0" fontId="17" fillId="7" borderId="2" xfId="0" applyFont="1" applyFill="1" applyBorder="1" applyAlignment="1" applyProtection="1">
      <alignment horizontal="center"/>
      <protection hidden="1"/>
    </xf>
    <xf numFmtId="0" fontId="21" fillId="7" borderId="14" xfId="0" applyFont="1" applyFill="1" applyBorder="1" applyProtection="1">
      <protection hidden="1"/>
    </xf>
    <xf numFmtId="0" fontId="21" fillId="7" borderId="7" xfId="0" applyFont="1" applyFill="1" applyBorder="1" applyProtection="1">
      <protection hidden="1"/>
    </xf>
    <xf numFmtId="0" fontId="17" fillId="7" borderId="8" xfId="0" applyFont="1" applyFill="1" applyBorder="1" applyAlignment="1" applyProtection="1">
      <alignment horizontal="center"/>
      <protection hidden="1"/>
    </xf>
    <xf numFmtId="0" fontId="17" fillId="3" borderId="0" xfId="0" applyFont="1" applyFill="1" applyProtection="1">
      <protection hidden="1"/>
    </xf>
    <xf numFmtId="164" fontId="17" fillId="3" borderId="0" xfId="0" applyNumberFormat="1" applyFont="1" applyFill="1" applyAlignment="1" applyProtection="1">
      <alignment horizontal="center"/>
      <protection hidden="1"/>
    </xf>
    <xf numFmtId="1" fontId="21" fillId="0" borderId="8" xfId="0" applyNumberFormat="1" applyFont="1" applyBorder="1" applyProtection="1">
      <protection hidden="1"/>
    </xf>
    <xf numFmtId="2" fontId="17" fillId="0" borderId="9" xfId="0" applyNumberFormat="1" applyFont="1" applyBorder="1" applyProtection="1">
      <protection hidden="1"/>
    </xf>
    <xf numFmtId="1" fontId="17" fillId="0" borderId="0" xfId="0" applyNumberFormat="1" applyFont="1" applyProtection="1">
      <protection hidden="1"/>
    </xf>
    <xf numFmtId="1" fontId="17" fillId="0" borderId="11" xfId="0" applyNumberFormat="1" applyFont="1" applyBorder="1" applyProtection="1">
      <protection hidden="1"/>
    </xf>
    <xf numFmtId="2" fontId="17" fillId="0" borderId="0" xfId="0" applyNumberFormat="1" applyFont="1" applyProtection="1">
      <protection hidden="1"/>
    </xf>
    <xf numFmtId="2" fontId="17" fillId="0" borderId="1" xfId="0" applyNumberFormat="1" applyFont="1" applyBorder="1" applyProtection="1">
      <protection hidden="1"/>
    </xf>
    <xf numFmtId="1" fontId="17" fillId="0" borderId="2" xfId="0" applyNumberFormat="1" applyFont="1" applyBorder="1" applyProtection="1">
      <protection hidden="1"/>
    </xf>
    <xf numFmtId="2" fontId="17" fillId="0" borderId="2" xfId="0" applyNumberFormat="1" applyFont="1" applyBorder="1" applyProtection="1">
      <protection hidden="1"/>
    </xf>
    <xf numFmtId="2" fontId="17" fillId="0" borderId="6" xfId="0" applyNumberFormat="1" applyFont="1" applyBorder="1" applyProtection="1">
      <protection hidden="1"/>
    </xf>
    <xf numFmtId="2" fontId="17" fillId="0" borderId="8" xfId="0" applyNumberFormat="1" applyFont="1" applyBorder="1" applyProtection="1">
      <protection hidden="1"/>
    </xf>
    <xf numFmtId="1" fontId="17" fillId="0" borderId="8" xfId="0" applyNumberFormat="1" applyFont="1" applyBorder="1" applyProtection="1">
      <protection hidden="1"/>
    </xf>
    <xf numFmtId="0" fontId="21" fillId="3" borderId="6" xfId="0" applyFont="1" applyFill="1" applyBorder="1" applyProtection="1">
      <protection hidden="1"/>
    </xf>
    <xf numFmtId="0" fontId="21" fillId="3" borderId="7" xfId="0" applyFont="1" applyFill="1" applyBorder="1" applyProtection="1">
      <protection hidden="1"/>
    </xf>
    <xf numFmtId="2" fontId="21" fillId="0" borderId="9" xfId="0" applyNumberFormat="1" applyFont="1" applyBorder="1" applyAlignment="1" applyProtection="1">
      <alignment horizontal="right"/>
      <protection hidden="1"/>
    </xf>
    <xf numFmtId="1" fontId="21" fillId="0" borderId="11" xfId="0" applyNumberFormat="1" applyFont="1" applyBorder="1" applyAlignment="1" applyProtection="1">
      <alignment horizontal="right"/>
      <protection hidden="1"/>
    </xf>
    <xf numFmtId="1" fontId="21" fillId="0" borderId="8" xfId="0" applyNumberFormat="1" applyFont="1" applyBorder="1" applyAlignment="1" applyProtection="1">
      <alignment horizontal="right"/>
      <protection hidden="1"/>
    </xf>
    <xf numFmtId="2" fontId="17" fillId="0" borderId="10" xfId="0" applyNumberFormat="1" applyFont="1" applyBorder="1" applyAlignment="1" applyProtection="1">
      <alignment horizontal="right"/>
      <protection hidden="1"/>
    </xf>
    <xf numFmtId="0" fontId="17" fillId="3" borderId="1" xfId="0" applyFont="1" applyFill="1" applyBorder="1" applyProtection="1">
      <protection hidden="1"/>
    </xf>
    <xf numFmtId="2" fontId="21" fillId="0" borderId="11" xfId="0" applyNumberFormat="1" applyFont="1" applyBorder="1" applyAlignment="1" applyProtection="1">
      <alignment horizontal="right"/>
      <protection hidden="1"/>
    </xf>
    <xf numFmtId="2" fontId="21" fillId="0" borderId="10" xfId="0" applyNumberFormat="1" applyFont="1" applyBorder="1" applyAlignment="1" applyProtection="1">
      <alignment horizontal="right"/>
      <protection hidden="1"/>
    </xf>
    <xf numFmtId="2" fontId="21" fillId="0" borderId="11" xfId="0" applyNumberFormat="1" applyFont="1" applyBorder="1" applyProtection="1">
      <protection hidden="1"/>
    </xf>
    <xf numFmtId="2" fontId="21" fillId="0" borderId="7" xfId="0" applyNumberFormat="1" applyFont="1" applyBorder="1" applyProtection="1">
      <protection hidden="1"/>
    </xf>
    <xf numFmtId="2" fontId="17" fillId="0" borderId="11" xfId="0" applyNumberFormat="1" applyFont="1" applyBorder="1" applyAlignment="1" applyProtection="1">
      <alignment horizontal="right"/>
      <protection hidden="1"/>
    </xf>
    <xf numFmtId="0" fontId="7" fillId="3" borderId="0" xfId="0" applyFont="1" applyFill="1" applyProtection="1">
      <protection hidden="1"/>
    </xf>
    <xf numFmtId="0" fontId="5" fillId="0" borderId="0" xfId="0" applyFont="1" applyProtection="1">
      <protection hidden="1"/>
    </xf>
    <xf numFmtId="0" fontId="6" fillId="3" borderId="0" xfId="0" applyFont="1" applyFill="1" applyAlignment="1">
      <alignment vertical="center"/>
    </xf>
    <xf numFmtId="0" fontId="6" fillId="3" borderId="1" xfId="0" applyFont="1" applyFill="1" applyBorder="1" applyAlignment="1">
      <alignment vertical="center"/>
    </xf>
    <xf numFmtId="1" fontId="17" fillId="4" borderId="0" xfId="0" quotePrefix="1" applyNumberFormat="1" applyFont="1" applyFill="1" applyAlignment="1" applyProtection="1">
      <alignment horizontal="right"/>
      <protection hidden="1"/>
    </xf>
    <xf numFmtId="1" fontId="17" fillId="5" borderId="11" xfId="0" quotePrefix="1" applyNumberFormat="1" applyFont="1" applyFill="1" applyBorder="1" applyAlignment="1" applyProtection="1">
      <alignment horizontal="right"/>
      <protection hidden="1"/>
    </xf>
    <xf numFmtId="1" fontId="17" fillId="5" borderId="2" xfId="0" quotePrefix="1" applyNumberFormat="1" applyFont="1" applyFill="1" applyBorder="1" applyAlignment="1" applyProtection="1">
      <alignment horizontal="right"/>
      <protection hidden="1"/>
    </xf>
    <xf numFmtId="0" fontId="17" fillId="6" borderId="0" xfId="0" quotePrefix="1" applyFont="1" applyFill="1" applyAlignment="1" applyProtection="1">
      <alignment horizontal="right"/>
      <protection hidden="1"/>
    </xf>
    <xf numFmtId="1" fontId="17" fillId="6" borderId="2" xfId="0" quotePrefix="1" applyNumberFormat="1" applyFont="1" applyFill="1" applyBorder="1" applyAlignment="1" applyProtection="1">
      <alignment horizontal="right"/>
      <protection hidden="1"/>
    </xf>
    <xf numFmtId="1" fontId="17" fillId="6" borderId="2" xfId="0" applyNumberFormat="1" applyFont="1" applyFill="1" applyBorder="1" applyAlignment="1" applyProtection="1">
      <alignment horizontal="right"/>
      <protection hidden="1"/>
    </xf>
    <xf numFmtId="0" fontId="17" fillId="7" borderId="0" xfId="0" quotePrefix="1" applyFont="1" applyFill="1" applyAlignment="1" applyProtection="1">
      <alignment horizontal="right"/>
      <protection hidden="1"/>
    </xf>
    <xf numFmtId="1" fontId="17" fillId="7" borderId="2" xfId="0" quotePrefix="1" applyNumberFormat="1" applyFont="1" applyFill="1" applyBorder="1" applyAlignment="1" applyProtection="1">
      <alignment horizontal="right"/>
      <protection hidden="1"/>
    </xf>
    <xf numFmtId="1" fontId="17" fillId="7" borderId="2" xfId="0" applyNumberFormat="1" applyFont="1" applyFill="1" applyBorder="1" applyAlignment="1" applyProtection="1">
      <alignment horizontal="right"/>
      <protection hidden="1"/>
    </xf>
    <xf numFmtId="1" fontId="17" fillId="5" borderId="2" xfId="0" applyNumberFormat="1" applyFont="1" applyFill="1" applyBorder="1" applyAlignment="1" applyProtection="1">
      <alignment horizontal="right"/>
      <protection hidden="1"/>
    </xf>
    <xf numFmtId="1" fontId="17" fillId="4" borderId="0" xfId="0" applyNumberFormat="1" applyFont="1" applyFill="1" applyAlignment="1" applyProtection="1">
      <alignment horizontal="right"/>
      <protection hidden="1"/>
    </xf>
    <xf numFmtId="0" fontId="17" fillId="4" borderId="6" xfId="0" applyFont="1" applyFill="1" applyBorder="1" applyAlignment="1" applyProtection="1">
      <alignment horizontal="center" wrapText="1"/>
      <protection hidden="1"/>
    </xf>
    <xf numFmtId="0" fontId="21" fillId="4" borderId="7" xfId="0" applyFont="1" applyFill="1" applyBorder="1" applyAlignment="1" applyProtection="1">
      <alignment horizontal="center"/>
      <protection hidden="1"/>
    </xf>
    <xf numFmtId="1" fontId="17" fillId="4" borderId="8" xfId="0" applyNumberFormat="1" applyFont="1" applyFill="1" applyBorder="1" applyAlignment="1" applyProtection="1">
      <alignment horizontal="left"/>
      <protection hidden="1"/>
    </xf>
    <xf numFmtId="0" fontId="17" fillId="5" borderId="6" xfId="0" applyFont="1" applyFill="1" applyBorder="1" applyAlignment="1" applyProtection="1">
      <alignment horizontal="center" wrapText="1"/>
      <protection hidden="1"/>
    </xf>
    <xf numFmtId="0" fontId="21" fillId="5" borderId="7" xfId="0" applyFont="1" applyFill="1" applyBorder="1" applyAlignment="1" applyProtection="1">
      <alignment horizontal="center"/>
      <protection hidden="1"/>
    </xf>
    <xf numFmtId="1" fontId="17" fillId="5" borderId="8" xfId="0" applyNumberFormat="1" applyFont="1" applyFill="1" applyBorder="1" applyAlignment="1" applyProtection="1">
      <alignment horizontal="left"/>
      <protection hidden="1"/>
    </xf>
    <xf numFmtId="0" fontId="17" fillId="6" borderId="6" xfId="0" applyFont="1" applyFill="1" applyBorder="1" applyAlignment="1" applyProtection="1">
      <alignment horizontal="center" wrapText="1"/>
      <protection hidden="1"/>
    </xf>
    <xf numFmtId="0" fontId="21" fillId="6" borderId="7" xfId="0" applyFont="1" applyFill="1" applyBorder="1" applyAlignment="1" applyProtection="1">
      <alignment horizontal="center"/>
      <protection hidden="1"/>
    </xf>
    <xf numFmtId="1" fontId="17" fillId="6" borderId="8" xfId="0" applyNumberFormat="1" applyFont="1" applyFill="1" applyBorder="1" applyAlignment="1" applyProtection="1">
      <alignment horizontal="left"/>
      <protection hidden="1"/>
    </xf>
    <xf numFmtId="0" fontId="17" fillId="7" borderId="6" xfId="0" applyFont="1" applyFill="1" applyBorder="1" applyAlignment="1" applyProtection="1">
      <alignment horizontal="center" wrapText="1"/>
      <protection hidden="1"/>
    </xf>
    <xf numFmtId="0" fontId="21" fillId="7" borderId="7" xfId="0" applyFont="1" applyFill="1" applyBorder="1" applyAlignment="1" applyProtection="1">
      <alignment horizontal="center"/>
      <protection hidden="1"/>
    </xf>
    <xf numFmtId="1" fontId="17" fillId="7" borderId="8" xfId="0" applyNumberFormat="1" applyFont="1" applyFill="1" applyBorder="1" applyAlignment="1" applyProtection="1">
      <alignment horizontal="left"/>
      <protection hidden="1"/>
    </xf>
    <xf numFmtId="0" fontId="6" fillId="3" borderId="0" xfId="0" applyFont="1" applyFill="1" applyAlignment="1" applyProtection="1">
      <alignment vertical="top"/>
      <protection hidden="1"/>
    </xf>
    <xf numFmtId="2" fontId="21" fillId="0" borderId="1" xfId="0" applyNumberFormat="1" applyFont="1" applyBorder="1"/>
    <xf numFmtId="0" fontId="14" fillId="4" borderId="13" xfId="0" applyFont="1" applyFill="1" applyBorder="1" applyAlignment="1" applyProtection="1">
      <alignment horizontal="center" wrapText="1"/>
      <protection hidden="1"/>
    </xf>
    <xf numFmtId="0" fontId="14" fillId="5" borderId="13" xfId="0" applyFont="1" applyFill="1" applyBorder="1" applyAlignment="1" applyProtection="1">
      <alignment horizontal="center" wrapText="1"/>
      <protection hidden="1"/>
    </xf>
    <xf numFmtId="0" fontId="19" fillId="6" borderId="2" xfId="0" applyFont="1" applyFill="1" applyBorder="1" applyAlignment="1" applyProtection="1">
      <alignment horizontal="center"/>
      <protection hidden="1"/>
    </xf>
    <xf numFmtId="0" fontId="19" fillId="7" borderId="2" xfId="0" applyFont="1" applyFill="1" applyBorder="1" applyAlignment="1" applyProtection="1">
      <alignment horizontal="center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center" vertical="center"/>
      <protection hidden="1"/>
    </xf>
    <xf numFmtId="0" fontId="5" fillId="3" borderId="5" xfId="0" applyFont="1" applyFill="1" applyBorder="1" applyAlignment="1" applyProtection="1">
      <alignment horizontal="center" vertical="center"/>
      <protection hidden="1"/>
    </xf>
    <xf numFmtId="0" fontId="9" fillId="3" borderId="0" xfId="0" applyFont="1" applyFill="1" applyAlignment="1" applyProtection="1">
      <alignment horizontal="center"/>
      <protection locked="0" hidden="1"/>
    </xf>
    <xf numFmtId="0" fontId="9" fillId="3" borderId="7" xfId="0" applyFont="1" applyFill="1" applyBorder="1" applyAlignment="1" applyProtection="1">
      <alignment horizontal="center"/>
      <protection locked="0" hidden="1"/>
    </xf>
  </cellXfs>
  <cellStyles count="2">
    <cellStyle name="Normal" xfId="0" builtinId="0"/>
    <cellStyle name="Normal 8" xfId="1" xr:uid="{00000000-0005-0000-0000-000001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D"/>
      <color rgb="FFFFFFE5"/>
      <color rgb="FFBC0000"/>
      <color rgb="FFFFFFC1"/>
      <color rgb="FF0000CC"/>
      <color rgb="FF000099"/>
      <color rgb="FF0000FF"/>
      <color rgb="FFCC99FF"/>
      <color rgb="FFCC66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Duration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776363031388145"/>
        </c:manualLayout>
      </c:layout>
      <c:lineChart>
        <c:grouping val="standard"/>
        <c:varyColors val="0"/>
        <c:ser>
          <c:idx val="0"/>
          <c:order val="0"/>
          <c:tx>
            <c:strRef>
              <c:f>'Center Zone'!$A$25:$A$26</c:f>
              <c:strCache>
                <c:ptCount val="1"/>
                <c:pt idx="0">
                  <c:v>HFD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('Center Zone'!$E$35,'Center Zone'!$G$35,'Center Zone'!$I$35,'Center Zone'!$K$35,'Center Zone'!$M$35,'Center Zone'!$O$35)</c:f>
                <c:numCache>
                  <c:formatCode>General</c:formatCode>
                  <c:ptCount val="6"/>
                  <c:pt idx="0">
                    <c:v>0.65903665323728799</c:v>
                  </c:pt>
                  <c:pt idx="1">
                    <c:v>0.81728921466463944</c:v>
                  </c:pt>
                  <c:pt idx="2">
                    <c:v>1.7024930738052308</c:v>
                  </c:pt>
                  <c:pt idx="3">
                    <c:v>1.4935787491343899</c:v>
                  </c:pt>
                  <c:pt idx="4">
                    <c:v>1.9244535291343134</c:v>
                  </c:pt>
                  <c:pt idx="5">
                    <c:v>1.7779055227962157</c:v>
                  </c:pt>
                </c:numCache>
              </c:numRef>
            </c:plus>
            <c:minus>
              <c:numRef>
                <c:f>('Center Zone'!$E$35,'Center Zone'!$G$35,'Center Zone'!$I$35,'Center Zone'!$K$35,'Center Zone'!$M$35,'Center Zone'!$O$35)</c:f>
                <c:numCache>
                  <c:formatCode>General</c:formatCode>
                  <c:ptCount val="6"/>
                  <c:pt idx="0">
                    <c:v>0.65903665323728799</c:v>
                  </c:pt>
                  <c:pt idx="1">
                    <c:v>0.81728921466463944</c:v>
                  </c:pt>
                  <c:pt idx="2">
                    <c:v>1.7024930738052308</c:v>
                  </c:pt>
                  <c:pt idx="3">
                    <c:v>1.4935787491343899</c:v>
                  </c:pt>
                  <c:pt idx="4">
                    <c:v>1.9244535291343134</c:v>
                  </c:pt>
                  <c:pt idx="5">
                    <c:v>1.7779055227962157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('Center Zone'!$E$21,'Center Zone'!$G$21,'Center Zone'!$I$21,'Center Zone'!$K$21,'Center Zone'!$M$21,'Center Zone'!$O$21)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('Center Zone'!$E$34,'Center Zone'!$G$34,'Center Zone'!$I$34,'Center Zone'!$K$34,'Center Zone'!$M$34,'Center Zone'!$O$34)</c:f>
              <c:numCache>
                <c:formatCode>0.00</c:formatCode>
                <c:ptCount val="6"/>
                <c:pt idx="0">
                  <c:v>3.35135425</c:v>
                </c:pt>
                <c:pt idx="1">
                  <c:v>4.2918750000000001</c:v>
                </c:pt>
                <c:pt idx="2">
                  <c:v>6.3135696249999995</c:v>
                </c:pt>
                <c:pt idx="3">
                  <c:v>6.6420987499999997</c:v>
                </c:pt>
                <c:pt idx="4">
                  <c:v>6.0008298750000009</c:v>
                </c:pt>
                <c:pt idx="5">
                  <c:v>6.6563600000000003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60-4B51-8389-0F2D96182DCA}"/>
            </c:ext>
          </c:extLst>
        </c:ser>
        <c:ser>
          <c:idx val="1"/>
          <c:order val="1"/>
          <c:tx>
            <c:strRef>
              <c:f>'Center Zone'!$A$37:$A$38</c:f>
              <c:strCache>
                <c:ptCount val="1"/>
                <c:pt idx="0">
                  <c:v>HFD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('Center Zone'!$E$47,'Center Zone'!$G$47,'Center Zone'!$I$47,'Center Zone'!$K$47,'Center Zone'!$M$47,'Center Zone'!$O$47)</c:f>
                <c:numCache>
                  <c:formatCode>General</c:formatCode>
                  <c:ptCount val="6"/>
                  <c:pt idx="0">
                    <c:v>0.17217060908348369</c:v>
                  </c:pt>
                  <c:pt idx="1">
                    <c:v>0.60293359049845707</c:v>
                  </c:pt>
                  <c:pt idx="2">
                    <c:v>1.2083990952642816</c:v>
                  </c:pt>
                  <c:pt idx="3">
                    <c:v>1.3621851133743821</c:v>
                  </c:pt>
                  <c:pt idx="4">
                    <c:v>0.9554338213223702</c:v>
                  </c:pt>
                  <c:pt idx="5">
                    <c:v>2.1479839078447491</c:v>
                  </c:pt>
                </c:numCache>
              </c:numRef>
            </c:plus>
            <c:minus>
              <c:numRef>
                <c:f>('Center Zone'!$E$47,'Center Zone'!$G$47,'Center Zone'!$I$47,'Center Zone'!$K$47,'Center Zone'!$M$47,'Center Zone'!$O$47)</c:f>
                <c:numCache>
                  <c:formatCode>General</c:formatCode>
                  <c:ptCount val="6"/>
                  <c:pt idx="0">
                    <c:v>0.17217060908348369</c:v>
                  </c:pt>
                  <c:pt idx="1">
                    <c:v>0.60293359049845707</c:v>
                  </c:pt>
                  <c:pt idx="2">
                    <c:v>1.2083990952642816</c:v>
                  </c:pt>
                  <c:pt idx="3">
                    <c:v>1.3621851133743821</c:v>
                  </c:pt>
                  <c:pt idx="4">
                    <c:v>0.9554338213223702</c:v>
                  </c:pt>
                  <c:pt idx="5">
                    <c:v>2.1479839078447491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('Center Zone'!$E$21,'Center Zone'!$G$21,'Center Zone'!$I$21,'Center Zone'!$K$21,'Center Zone'!$M$21,'Center Zone'!$O$21)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('Center Zone'!$E$46,'Center Zone'!$G$46,'Center Zone'!$I$46,'Center Zone'!$K$46,'Center Zone'!$M$46,'Center Zone'!$O$46)</c:f>
              <c:numCache>
                <c:formatCode>0.00</c:formatCode>
                <c:ptCount val="6"/>
                <c:pt idx="0">
                  <c:v>0.81480666666666668</c:v>
                </c:pt>
                <c:pt idx="1">
                  <c:v>2.2851618333333339</c:v>
                </c:pt>
                <c:pt idx="2">
                  <c:v>2.557382</c:v>
                </c:pt>
                <c:pt idx="3">
                  <c:v>3.1481176666666664</c:v>
                </c:pt>
                <c:pt idx="4">
                  <c:v>2.1221999999999999</c:v>
                </c:pt>
                <c:pt idx="5">
                  <c:v>3.3258899999999998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60-4B51-8389-0F2D96182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'Center Zone'!$A$49:$A$50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>
                          <a:alpha val="98000"/>
                        </a:schemeClr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('Center Zone'!$E$59,'Center Zone'!$G$59,'Center Zone'!$I$59,'Center Zone'!$K$59,'Center Zone'!$M$59,'Center Zone'!$O$59)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('Center Zone'!$E$59,'Center Zone'!$G$59,'Center Zone'!$I$59,'Center Zone'!$K$59,'Center Zone'!$M$59,'Center Zone'!$O$59)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('Center Zone'!$E$58,'Center Zone'!$G$58,'Center Zone'!$I$58,'Center Zone'!$K$58,'Center Zone'!$M$58,'Center Zone'!$O$58)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F45-4D59-BBC1-C3A882678DC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'Center Zone'!$A$61:$A$62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('Center Zone'!$E$71,'Center Zone'!$G$71,'Center Zone'!$I$71,'Center Zone'!$K$71,'Center Zone'!$M$71,'Center Zone'!$O$71)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('Center Zone'!$E$71,'Center Zone'!$G$71,'Center Zone'!$I$71,'Center Zone'!$K$71,'Center Zone'!$M$71,'Center Zone'!$O$71)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('Center Zone'!$E$70,'Center Zone'!$G$70,'Center Zone'!$I$70,'Center Zone'!$K$70,'Center Zone'!$M$70,'Center Zone'!$O$70)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3C5-4E93-BAF5-D0857D7188EB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periods (min)</a:t>
                </a:r>
              </a:p>
            </c:rich>
          </c:tx>
          <c:layout>
            <c:manualLayout>
              <c:xMode val="edge"/>
              <c:yMode val="edge"/>
              <c:x val="0.32758452378177694"/>
              <c:y val="0.89689857873972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  <c:max val="12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295772012191436"/>
          <c:y val="0.14419881799312342"/>
          <c:w val="0.79275235868734328"/>
          <c:h val="0.117044982808613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Frequency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(times)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80531502253550913"/>
          <c:h val="0.48161449005904539"/>
        </c:manualLayout>
      </c:layout>
      <c:lineChart>
        <c:grouping val="standard"/>
        <c:varyColors val="0"/>
        <c:ser>
          <c:idx val="0"/>
          <c:order val="0"/>
          <c:tx>
            <c:strRef>
              <c:f>'Center Zone'!$A$25:$A$26</c:f>
              <c:strCache>
                <c:ptCount val="1"/>
                <c:pt idx="0">
                  <c:v>HFD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('Center Zone'!$F$35,'Center Zone'!$H$35,'Center Zone'!$J$35,'Center Zone'!$L$35,'Center Zone'!$N$35,'Center Zone'!$P$35)</c:f>
                <c:numCache>
                  <c:formatCode>General</c:formatCode>
                  <c:ptCount val="6"/>
                  <c:pt idx="0">
                    <c:v>1.1090133968017313</c:v>
                  </c:pt>
                  <c:pt idx="1">
                    <c:v>0.82239849569067525</c:v>
                  </c:pt>
                  <c:pt idx="2">
                    <c:v>1.2100767390069582</c:v>
                  </c:pt>
                  <c:pt idx="3">
                    <c:v>1.4015297764534702</c:v>
                  </c:pt>
                  <c:pt idx="4">
                    <c:v>1.3363062095621219</c:v>
                  </c:pt>
                  <c:pt idx="5">
                    <c:v>1.266974751091491</c:v>
                  </c:pt>
                </c:numCache>
              </c:numRef>
            </c:plus>
            <c:minus>
              <c:numRef>
                <c:f>('Center Zone'!$F$35,'Center Zone'!$H$35,'Center Zone'!$J$35,'Center Zone'!$L$35,'Center Zone'!$N$35,'Center Zone'!$P$35)</c:f>
                <c:numCache>
                  <c:formatCode>General</c:formatCode>
                  <c:ptCount val="6"/>
                  <c:pt idx="0">
                    <c:v>1.1090133968017313</c:v>
                  </c:pt>
                  <c:pt idx="1">
                    <c:v>0.82239849569067525</c:v>
                  </c:pt>
                  <c:pt idx="2">
                    <c:v>1.2100767390069582</c:v>
                  </c:pt>
                  <c:pt idx="3">
                    <c:v>1.4015297764534702</c:v>
                  </c:pt>
                  <c:pt idx="4">
                    <c:v>1.3363062095621219</c:v>
                  </c:pt>
                  <c:pt idx="5">
                    <c:v>1.266974751091491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('Center Zone'!$E$21,'Center Zone'!$G$21,'Center Zone'!$I$21,'Center Zone'!$K$21,'Center Zone'!$M$21,'Center Zone'!$O$21)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('Center Zone'!$F$34,'Center Zone'!$H$34,'Center Zone'!$J$34,'Center Zone'!$L$34,'Center Zone'!$N$34,'Center Zone'!$P$34)</c:f>
              <c:numCache>
                <c:formatCode>0.00</c:formatCode>
                <c:ptCount val="6"/>
                <c:pt idx="0">
                  <c:v>7.875</c:v>
                </c:pt>
                <c:pt idx="1">
                  <c:v>8.625</c:v>
                </c:pt>
                <c:pt idx="2">
                  <c:v>8</c:v>
                </c:pt>
                <c:pt idx="3">
                  <c:v>8.5</c:v>
                </c:pt>
                <c:pt idx="4">
                  <c:v>7</c:v>
                </c:pt>
                <c:pt idx="5">
                  <c:v>8.2263862500000009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9-45A6-B22A-DA724D388B6C}"/>
            </c:ext>
          </c:extLst>
        </c:ser>
        <c:ser>
          <c:idx val="1"/>
          <c:order val="1"/>
          <c:tx>
            <c:strRef>
              <c:f>'Center Zone'!$A$37:$A$38</c:f>
              <c:strCache>
                <c:ptCount val="1"/>
                <c:pt idx="0">
                  <c:v>HFD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('Center Zone'!$F$47,'Center Zone'!$H$47,'Center Zone'!$J$47,'Center Zone'!$L$47,'Center Zone'!$N$47,'Center Zone'!$P$47)</c:f>
                <c:numCache>
                  <c:formatCode>General</c:formatCode>
                  <c:ptCount val="6"/>
                  <c:pt idx="0">
                    <c:v>0.94575073060740733</c:v>
                  </c:pt>
                  <c:pt idx="1">
                    <c:v>1.0540925533894601</c:v>
                  </c:pt>
                  <c:pt idx="2">
                    <c:v>2.0234733614368254</c:v>
                  </c:pt>
                  <c:pt idx="3">
                    <c:v>2.5744470819532839</c:v>
                  </c:pt>
                  <c:pt idx="4">
                    <c:v>1.5634719199411433</c:v>
                  </c:pt>
                  <c:pt idx="5">
                    <c:v>1.0219806477837261</c:v>
                  </c:pt>
                </c:numCache>
              </c:numRef>
            </c:plus>
            <c:minus>
              <c:numRef>
                <c:f>('Center Zone'!$F$47,'Center Zone'!$H$47,'Center Zone'!$J$47,'Center Zone'!$L$47,'Center Zone'!$N$47,'Center Zone'!$P$47)</c:f>
                <c:numCache>
                  <c:formatCode>General</c:formatCode>
                  <c:ptCount val="6"/>
                  <c:pt idx="0">
                    <c:v>0.94575073060740733</c:v>
                  </c:pt>
                  <c:pt idx="1">
                    <c:v>1.0540925533894601</c:v>
                  </c:pt>
                  <c:pt idx="2">
                    <c:v>2.0234733614368254</c:v>
                  </c:pt>
                  <c:pt idx="3">
                    <c:v>2.5744470819532839</c:v>
                  </c:pt>
                  <c:pt idx="4">
                    <c:v>1.5634719199411433</c:v>
                  </c:pt>
                  <c:pt idx="5">
                    <c:v>1.0219806477837261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('Center Zone'!$E$21,'Center Zone'!$G$21,'Center Zone'!$I$21,'Center Zone'!$K$21,'Center Zone'!$M$21,'Center Zone'!$O$21)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('Center Zone'!$F$46,'Center Zone'!$H$46,'Center Zone'!$J$46,'Center Zone'!$L$46,'Center Zone'!$N$46,'Center Zone'!$P$46)</c:f>
              <c:numCache>
                <c:formatCode>0.00</c:formatCode>
                <c:ptCount val="6"/>
                <c:pt idx="0">
                  <c:v>3.1666666666666665</c:v>
                </c:pt>
                <c:pt idx="1">
                  <c:v>4.666666666666667</c:v>
                </c:pt>
                <c:pt idx="2">
                  <c:v>4.833333333333333</c:v>
                </c:pt>
                <c:pt idx="3">
                  <c:v>4.833333333333333</c:v>
                </c:pt>
                <c:pt idx="4">
                  <c:v>3.6666666666666665</c:v>
                </c:pt>
                <c:pt idx="5">
                  <c:v>2.6666666666666665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9-45A6-B22A-DA724D388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'Center Zone'!$A$49:$A$50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('Center Zone'!$F$59,'Center Zone'!$H$59,'Center Zone'!$J$59,'Center Zone'!$L$59,'Center Zone'!$N$59,'Center Zone'!$P$59)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('Center Zone'!$F$59,'Center Zone'!$H$59,'Center Zone'!$J$59,'Center Zone'!$L$59,'Center Zone'!$N$59,'Center Zone'!$P$59)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('Center Zone'!$F$58,'Center Zone'!$H$58,'Center Zone'!$J$58,'Center Zone'!$L$58,'Center Zone'!$N$58,'Center Zone'!$P$58)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D02-4E07-8719-4B5ED91C346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'Center Zone'!$A$61:$A$62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('Center Zone'!$F$71,'Center Zone'!$H$71,'Center Zone'!$J$71,'Center Zone'!$L$71,'Center Zone'!$N$71,'Center Zone'!$P$71)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('Center Zone'!$F$71,'Center Zone'!$H$71,'Center Zone'!$J$71,'Center Zone'!$L$71,'Center Zone'!$N$71,'Center Zone'!$P$71)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('Center Zone'!$F$70,'Center Zone'!$H$70,'Center Zone'!$J$70,'Center Zone'!$L$70,'Center Zone'!$N$70,'Center Zone'!$P$70)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217-4194-816F-AD92CBFD8D0A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periods (min)</a:t>
                </a:r>
              </a:p>
            </c:rich>
          </c:tx>
          <c:layout>
            <c:manualLayout>
              <c:xMode val="edge"/>
              <c:yMode val="edge"/>
              <c:x val="0.32758452378177694"/>
              <c:y val="0.896878585848863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7011733732733558"/>
          <c:y val="0.14408011151081107"/>
          <c:w val="0.78417255008463271"/>
          <c:h val="0.108906267018929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Duration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7735085888039214"/>
        </c:manualLayout>
      </c:layout>
      <c:lineChart>
        <c:grouping val="standard"/>
        <c:varyColors val="0"/>
        <c:ser>
          <c:idx val="0"/>
          <c:order val="0"/>
          <c:tx>
            <c:strRef>
              <c:f>'Intermediate Zone'!$A$9:$A$10</c:f>
              <c:strCache>
                <c:ptCount val="1"/>
                <c:pt idx="0">
                  <c:v>HFD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('Intermediate Zone'!$E$19,'Intermediate Zone'!$G$19,'Intermediate Zone'!$I$19,'Intermediate Zone'!$K$19,'Intermediate Zone'!$M$19,'Intermediate Zone'!$O$19)</c:f>
                <c:numCache>
                  <c:formatCode>General</c:formatCode>
                  <c:ptCount val="6"/>
                  <c:pt idx="0">
                    <c:v>2.9220040200806756</c:v>
                  </c:pt>
                  <c:pt idx="1">
                    <c:v>3.7927179935959425</c:v>
                  </c:pt>
                  <c:pt idx="2">
                    <c:v>1.4378249490798383</c:v>
                  </c:pt>
                  <c:pt idx="3">
                    <c:v>1.3906319655514114</c:v>
                  </c:pt>
                  <c:pt idx="4">
                    <c:v>1.6813648013314224</c:v>
                  </c:pt>
                  <c:pt idx="5">
                    <c:v>2.6489048725052671</c:v>
                  </c:pt>
                </c:numCache>
              </c:numRef>
            </c:plus>
            <c:minus>
              <c:numRef>
                <c:f>('Intermediate Zone'!$E$19,'Intermediate Zone'!$G$19,'Intermediate Zone'!$I$19,'Intermediate Zone'!$K$19,'Intermediate Zone'!$M$19,'Intermediate Zone'!$O$19)</c:f>
                <c:numCache>
                  <c:formatCode>General</c:formatCode>
                  <c:ptCount val="6"/>
                  <c:pt idx="0">
                    <c:v>2.9220040200806756</c:v>
                  </c:pt>
                  <c:pt idx="1">
                    <c:v>3.7927179935959425</c:v>
                  </c:pt>
                  <c:pt idx="2">
                    <c:v>1.4378249490798383</c:v>
                  </c:pt>
                  <c:pt idx="3">
                    <c:v>1.3906319655514114</c:v>
                  </c:pt>
                  <c:pt idx="4">
                    <c:v>1.6813648013314224</c:v>
                  </c:pt>
                  <c:pt idx="5">
                    <c:v>2.6489048725052671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('Intermediate Zone'!$E$5,'Intermediate Zone'!$G$5,'Intermediate Zone'!$I$5,'Intermediate Zone'!$K$5,'Intermediate Zone'!$M$5,'Intermediate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('Intermediate Zone'!$E$18,'Intermediate Zone'!$G$18,'Intermediate Zone'!$I$18,'Intermediate Zone'!$K$18,'Intermediate Zone'!$M$18,'Intermediate Zone'!$O$18)</c:f>
              <c:numCache>
                <c:formatCode>0.00</c:formatCode>
                <c:ptCount val="6"/>
                <c:pt idx="0">
                  <c:v>14.00554625</c:v>
                </c:pt>
                <c:pt idx="1">
                  <c:v>16.61131</c:v>
                </c:pt>
                <c:pt idx="2">
                  <c:v>17.419525</c:v>
                </c:pt>
                <c:pt idx="3">
                  <c:v>16.395927500000003</c:v>
                </c:pt>
                <c:pt idx="4">
                  <c:v>16.771687499999999</c:v>
                </c:pt>
                <c:pt idx="5">
                  <c:v>19.541615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32-4F97-BF25-BD197F922A72}"/>
            </c:ext>
          </c:extLst>
        </c:ser>
        <c:ser>
          <c:idx val="1"/>
          <c:order val="1"/>
          <c:tx>
            <c:strRef>
              <c:f>'Intermediate Zone'!$A$21:$A$22</c:f>
              <c:strCache>
                <c:ptCount val="1"/>
                <c:pt idx="0">
                  <c:v>HFD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('Intermediate Zone'!$E$31,'Intermediate Zone'!$G$31,'Intermediate Zone'!$I$31,'Intermediate Zone'!$K$31,'Intermediate Zone'!$M$31,'Intermediate Zone'!$O$31)</c:f>
                <c:numCache>
                  <c:formatCode>General</c:formatCode>
                  <c:ptCount val="6"/>
                  <c:pt idx="0">
                    <c:v>0.93394728979554564</c:v>
                  </c:pt>
                  <c:pt idx="1">
                    <c:v>1.4311293480643568</c:v>
                  </c:pt>
                  <c:pt idx="2">
                    <c:v>2.1357420082772172</c:v>
                  </c:pt>
                  <c:pt idx="3">
                    <c:v>4.8983964327316123</c:v>
                  </c:pt>
                  <c:pt idx="4">
                    <c:v>3.376617354849623</c:v>
                  </c:pt>
                  <c:pt idx="5">
                    <c:v>2.9841757840226033</c:v>
                  </c:pt>
                </c:numCache>
              </c:numRef>
            </c:plus>
            <c:minus>
              <c:numRef>
                <c:f>('Intermediate Zone'!$E$31,'Intermediate Zone'!$G$31,'Intermediate Zone'!$I$31,'Intermediate Zone'!$K$31,'Intermediate Zone'!$M$31,'Intermediate Zone'!$O$31)</c:f>
                <c:numCache>
                  <c:formatCode>General</c:formatCode>
                  <c:ptCount val="6"/>
                  <c:pt idx="0">
                    <c:v>0.93394728979554564</c:v>
                  </c:pt>
                  <c:pt idx="1">
                    <c:v>1.4311293480643568</c:v>
                  </c:pt>
                  <c:pt idx="2">
                    <c:v>2.1357420082772172</c:v>
                  </c:pt>
                  <c:pt idx="3">
                    <c:v>4.8983964327316123</c:v>
                  </c:pt>
                  <c:pt idx="4">
                    <c:v>3.376617354849623</c:v>
                  </c:pt>
                  <c:pt idx="5">
                    <c:v>2.9841757840226033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('Intermediate Zone'!$E$5,'Intermediate Zone'!$G$5,'Intermediate Zone'!$I$5,'Intermediate Zone'!$K$5,'Intermediate Zone'!$M$5,'Intermediate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('Intermediate Zone'!$E$30,'Intermediate Zone'!$G$30,'Intermediate Zone'!$I$30,'Intermediate Zone'!$K$30,'Intermediate Zone'!$M$30,'Intermediate Zone'!$O$30)</c:f>
              <c:numCache>
                <c:formatCode>0.00</c:formatCode>
                <c:ptCount val="6"/>
                <c:pt idx="0">
                  <c:v>3.7425553333333332</c:v>
                </c:pt>
                <c:pt idx="1">
                  <c:v>6.7943733333333327</c:v>
                </c:pt>
                <c:pt idx="2">
                  <c:v>6.9906700000000006</c:v>
                </c:pt>
                <c:pt idx="3">
                  <c:v>10.975293333333335</c:v>
                </c:pt>
                <c:pt idx="4">
                  <c:v>9.7170889999999996</c:v>
                </c:pt>
                <c:pt idx="5">
                  <c:v>7.0611895000000002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32-4F97-BF25-BD197F922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'Intermediate Zone'!$A$33:$A$34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('Intermediate Zone'!$E$43,'Intermediate Zone'!$G$43,'Intermediate Zone'!$I$43,'Intermediate Zone'!$K$43,'Intermediate Zone'!$M$43,'Intermediate Zone'!$O$43)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('Intermediate Zone'!$O$43,'Intermediate Zone'!$M$43,'Intermediate Zone'!$K$43,'Intermediate Zone'!$I$43,'Intermediate Zone'!$G$43,'Intermediate Zone'!$E$43)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('Intermediate Zone'!$E$42,'Intermediate Zone'!$G$42,'Intermediate Zone'!$I$42,'Intermediate Zone'!$K$42,'Intermediate Zone'!$M$42,'Intermediate Zone'!$O$42)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259-46CC-943B-6CB2CDA4E9E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'Intermediate Zone'!$A$45:$A$46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('Intermediate Zone'!$E$55,'Intermediate Zone'!$G$55,'Intermediate Zone'!$I$55,'Intermediate Zone'!$K$55,'Intermediate Zone'!$M$55,'Intermediate Zone'!$O$55)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('Intermediate Zone'!$E$55,'Intermediate Zone'!$G$55,'Intermediate Zone'!$I$55,'Intermediate Zone'!$K$55,'Intermediate Zone'!$M$55,'Intermediate Zone'!$O$55)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('Intermediate Zone'!$E$54,'Intermediate Zone'!$G$54,'Intermediate Zone'!$I$54,'Intermediate Zone'!$K$54,'Intermediate Zone'!$M$54,'Intermediate Zone'!$O$54)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7F-48D6-BAFA-D92A1F53548A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periods (min)</a:t>
                </a:r>
              </a:p>
            </c:rich>
          </c:tx>
          <c:layout>
            <c:manualLayout>
              <c:xMode val="edge"/>
              <c:yMode val="edge"/>
              <c:x val="0.31468122936245879"/>
              <c:y val="0.89676668658492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  <c:max val="40"/>
          <c:min val="0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32256371179409"/>
          <c:y val="0.14341178354146653"/>
          <c:w val="0.79677419354838708"/>
          <c:h val="0.10460619821846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Frequency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(times)</a:t>
            </a:r>
          </a:p>
        </c:rich>
      </c:tx>
      <c:layout>
        <c:manualLayout>
          <c:xMode val="edge"/>
          <c:yMode val="edge"/>
          <c:x val="0.17129015324697314"/>
          <c:y val="2.40153698366954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7735085888039214"/>
        </c:manualLayout>
      </c:layout>
      <c:lineChart>
        <c:grouping val="standard"/>
        <c:varyColors val="0"/>
        <c:ser>
          <c:idx val="0"/>
          <c:order val="0"/>
          <c:tx>
            <c:strRef>
              <c:f>'Intermediate Zone'!$A$9:$A$10</c:f>
              <c:strCache>
                <c:ptCount val="1"/>
                <c:pt idx="0">
                  <c:v>HFD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('Intermediate Zone'!$F$19,'Intermediate Zone'!$H$19,'Intermediate Zone'!$J$19,'Intermediate Zone'!$L$19,'Intermediate Zone'!$N$19,'Intermediate Zone'!$P$19)</c:f>
                <c:numCache>
                  <c:formatCode>General</c:formatCode>
                  <c:ptCount val="6"/>
                  <c:pt idx="0">
                    <c:v>3.0807582554578063</c:v>
                  </c:pt>
                  <c:pt idx="1">
                    <c:v>1.9542764463021671</c:v>
                  </c:pt>
                  <c:pt idx="2">
                    <c:v>1.9588398534409521</c:v>
                  </c:pt>
                  <c:pt idx="3">
                    <c:v>2.485224192243888</c:v>
                  </c:pt>
                  <c:pt idx="4">
                    <c:v>2.4476665272400626</c:v>
                  </c:pt>
                  <c:pt idx="5">
                    <c:v>1.7397659941169428</c:v>
                  </c:pt>
                </c:numCache>
              </c:numRef>
            </c:plus>
            <c:minus>
              <c:numRef>
                <c:f>('Intermediate Zone'!$F$19,'Intermediate Zone'!$H$19,'Intermediate Zone'!$J$19,'Intermediate Zone'!$L$19,'Intermediate Zone'!$N$19,'Intermediate Zone'!$P$19)</c:f>
                <c:numCache>
                  <c:formatCode>General</c:formatCode>
                  <c:ptCount val="6"/>
                  <c:pt idx="0">
                    <c:v>3.0807582554578063</c:v>
                  </c:pt>
                  <c:pt idx="1">
                    <c:v>1.9542764463021671</c:v>
                  </c:pt>
                  <c:pt idx="2">
                    <c:v>1.9588398534409521</c:v>
                  </c:pt>
                  <c:pt idx="3">
                    <c:v>2.485224192243888</c:v>
                  </c:pt>
                  <c:pt idx="4">
                    <c:v>2.4476665272400626</c:v>
                  </c:pt>
                  <c:pt idx="5">
                    <c:v>1.7397659941169428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('Intermediate Zone'!$E$5,'Intermediate Zone'!$G$5,'Intermediate Zone'!$I$5,'Intermediate Zone'!$K$5,'Intermediate Zone'!$M$5,'Intermediate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('Intermediate Zone'!$F$18,'Intermediate Zone'!$H$18,'Intermediate Zone'!$J$18,'Intermediate Zone'!$L$18,'Intermediate Zone'!$N$18,'Intermediate Zone'!$P$18)</c:f>
              <c:numCache>
                <c:formatCode>0.00</c:formatCode>
                <c:ptCount val="6"/>
                <c:pt idx="0">
                  <c:v>28.25</c:v>
                </c:pt>
                <c:pt idx="1">
                  <c:v>27.625</c:v>
                </c:pt>
                <c:pt idx="2">
                  <c:v>23.125</c:v>
                </c:pt>
                <c:pt idx="3">
                  <c:v>26.375</c:v>
                </c:pt>
                <c:pt idx="4">
                  <c:v>21.75</c:v>
                </c:pt>
                <c:pt idx="5">
                  <c:v>24.25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C-484E-B4C5-5413E7BA6B5C}"/>
            </c:ext>
          </c:extLst>
        </c:ser>
        <c:ser>
          <c:idx val="1"/>
          <c:order val="1"/>
          <c:tx>
            <c:strRef>
              <c:f>'Intermediate Zone'!$A$21:$A$22</c:f>
              <c:strCache>
                <c:ptCount val="1"/>
                <c:pt idx="0">
                  <c:v>HFD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('Intermediate Zone'!$F$31,'Intermediate Zone'!$H$31,'Intermediate Zone'!$J$31,'Intermediate Zone'!$L$31,'Intermediate Zone'!$N$31,'Intermediate Zone'!$P$31)</c:f>
                <c:numCache>
                  <c:formatCode>General</c:formatCode>
                  <c:ptCount val="6"/>
                  <c:pt idx="0">
                    <c:v>2.9514591494904878</c:v>
                  </c:pt>
                  <c:pt idx="1">
                    <c:v>2.6541372316525842</c:v>
                  </c:pt>
                  <c:pt idx="2">
                    <c:v>4.6073612597426932</c:v>
                  </c:pt>
                  <c:pt idx="3">
                    <c:v>5.0315670189978263</c:v>
                  </c:pt>
                  <c:pt idx="4">
                    <c:v>3.8873012632302006</c:v>
                  </c:pt>
                  <c:pt idx="5">
                    <c:v>3.525305345325108</c:v>
                  </c:pt>
                </c:numCache>
              </c:numRef>
            </c:plus>
            <c:minus>
              <c:numRef>
                <c:f>('Intermediate Zone'!$F$31,'Intermediate Zone'!$H$31,'Intermediate Zone'!$J$31,'Intermediate Zone'!$L$31,'Intermediate Zone'!$N$31,'Intermediate Zone'!$P$31)</c:f>
                <c:numCache>
                  <c:formatCode>General</c:formatCode>
                  <c:ptCount val="6"/>
                  <c:pt idx="0">
                    <c:v>2.9514591494904878</c:v>
                  </c:pt>
                  <c:pt idx="1">
                    <c:v>2.6541372316525842</c:v>
                  </c:pt>
                  <c:pt idx="2">
                    <c:v>4.6073612597426932</c:v>
                  </c:pt>
                  <c:pt idx="3">
                    <c:v>5.0315670189978263</c:v>
                  </c:pt>
                  <c:pt idx="4">
                    <c:v>3.8873012632302006</c:v>
                  </c:pt>
                  <c:pt idx="5">
                    <c:v>3.525305345325108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('Intermediate Zone'!$E$5,'Intermediate Zone'!$G$5,'Intermediate Zone'!$I$5,'Intermediate Zone'!$K$5,'Intermediate Zone'!$M$5,'Intermediate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('Intermediate Zone'!$F$30,'Intermediate Zone'!$H$30,'Intermediate Zone'!$J$30,'Intermediate Zone'!$L$30,'Intermediate Zone'!$N$30,'Intermediate Zone'!$P$30)</c:f>
              <c:numCache>
                <c:formatCode>0.00</c:formatCode>
                <c:ptCount val="6"/>
                <c:pt idx="0">
                  <c:v>12.666666666666666</c:v>
                </c:pt>
                <c:pt idx="1">
                  <c:v>15.333333333333334</c:v>
                </c:pt>
                <c:pt idx="2">
                  <c:v>15.166666666666666</c:v>
                </c:pt>
                <c:pt idx="3">
                  <c:v>15.5</c:v>
                </c:pt>
                <c:pt idx="4">
                  <c:v>13.666666666666666</c:v>
                </c:pt>
                <c:pt idx="5">
                  <c:v>11.833333333333334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7C-484E-B4C5-5413E7BA6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'Intermediate Zone'!$A$33:$A$34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('Intermediate Zone'!$F$43,'Intermediate Zone'!$H$43,'Intermediate Zone'!$J$43,'Intermediate Zone'!$L$43,'Intermediate Zone'!$N$43,'Intermediate Zone'!$P$43)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('Intermediate Zone'!$F$43,'Intermediate Zone'!$H$43,'Intermediate Zone'!$J$43,'Intermediate Zone'!$L$43,'Intermediate Zone'!$N$43,'Intermediate Zone'!$P$43)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('Intermediate Zone'!$F$42,'Intermediate Zone'!$H$42,'Intermediate Zone'!$J$42,'Intermediate Zone'!$L$42,'Intermediate Zone'!$N$42,'Intermediate Zone'!$P$42)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A7C-484E-B4C5-5413E7BA6B5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'Intermediate Zone'!$A$45:$A$46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('Intermediate Zone'!$F$55,'Intermediate Zone'!$H$55,'Intermediate Zone'!$J$55,'Intermediate Zone'!$L$55,'Intermediate Zone'!$N$55,'Intermediate Zone'!$P$55)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('Intermediate Zone'!$F$55,'Intermediate Zone'!$H$55,'Intermediate Zone'!$J$55,'Intermediate Zone'!$L$55,'Intermediate Zone'!$N$55,'Intermediate Zone'!$P$55)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('Intermediate Zone'!$F$54,'Intermediate Zone'!$H$54,'Intermediate Zone'!$J$54,'Intermediate Zone'!$L$54,'Intermediate Zone'!$N$54,'Intermediate Zone'!$P$54)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3E0-4B84-85DA-EC0500090A58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periods (min)</a:t>
                </a:r>
              </a:p>
            </c:rich>
          </c:tx>
          <c:layout>
            <c:manualLayout>
              <c:xMode val="edge"/>
              <c:yMode val="edge"/>
              <c:x val="0.31468122936245879"/>
              <c:y val="0.89676668658492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At val="0"/>
        <c:auto val="1"/>
        <c:lblAlgn val="ctr"/>
        <c:lblOffset val="100"/>
        <c:noMultiLvlLbl val="0"/>
      </c:catAx>
      <c:valAx>
        <c:axId val="498648352"/>
        <c:scaling>
          <c:orientation val="minMax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  <c:majorUnit val="10"/>
        <c:minorUnit val="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182778765557534"/>
          <c:y val="0.14341178354146653"/>
          <c:w val="0.78817204301075272"/>
          <c:h val="0.116406153481535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Duration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8935854379873983"/>
        </c:manualLayout>
      </c:layout>
      <c:lineChart>
        <c:grouping val="standard"/>
        <c:varyColors val="0"/>
        <c:ser>
          <c:idx val="0"/>
          <c:order val="0"/>
          <c:tx>
            <c:strRef>
              <c:f>'Outer Zone'!$A$9:$A$10</c:f>
              <c:strCache>
                <c:ptCount val="1"/>
                <c:pt idx="0">
                  <c:v>HFD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('Outer Zone'!$E$19,'Outer Zone'!$G$19,'Outer Zone'!$I$19,'Outer Zone'!$K$19,'Outer Zone'!$M$19,'Outer Zone'!$O$19)</c:f>
                <c:numCache>
                  <c:formatCode>General</c:formatCode>
                  <c:ptCount val="6"/>
                  <c:pt idx="0">
                    <c:v>3.3434079506725451</c:v>
                  </c:pt>
                  <c:pt idx="1">
                    <c:v>4.4753931260281377</c:v>
                  </c:pt>
                  <c:pt idx="2">
                    <c:v>2.6526217370702661</c:v>
                  </c:pt>
                  <c:pt idx="3">
                    <c:v>2.3172873171738586</c:v>
                  </c:pt>
                  <c:pt idx="4">
                    <c:v>3.0846401670464587</c:v>
                  </c:pt>
                  <c:pt idx="5">
                    <c:v>4.0484645390038425</c:v>
                  </c:pt>
                </c:numCache>
              </c:numRef>
            </c:plus>
            <c:minus>
              <c:numRef>
                <c:f>('Outer Zone'!$E$19,'Outer Zone'!$G$19,'Outer Zone'!$I$19,'Outer Zone'!$K$19,'Outer Zone'!$M$19,'Outer Zone'!$O$19)</c:f>
                <c:numCache>
                  <c:formatCode>General</c:formatCode>
                  <c:ptCount val="6"/>
                  <c:pt idx="0">
                    <c:v>3.3434079506725451</c:v>
                  </c:pt>
                  <c:pt idx="1">
                    <c:v>4.4753931260281377</c:v>
                  </c:pt>
                  <c:pt idx="2">
                    <c:v>2.6526217370702661</c:v>
                  </c:pt>
                  <c:pt idx="3">
                    <c:v>2.3172873171738586</c:v>
                  </c:pt>
                  <c:pt idx="4">
                    <c:v>3.0846401670464587</c:v>
                  </c:pt>
                  <c:pt idx="5">
                    <c:v>4.0484645390038425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('Outer Zone'!$E$5,'Outer Zone'!$G$5,'Outer Zone'!$I$5,'Outer Zone'!$K$5,'Outer Zone'!$M$5,'Outer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('Outer Zone'!$E$18,'Outer Zone'!$G$18,'Outer Zone'!$I$18,'Outer Zone'!$K$18,'Outer Zone'!$M$18,'Outer Zone'!$O$18)</c:f>
              <c:numCache>
                <c:formatCode>0.00</c:formatCode>
                <c:ptCount val="6"/>
                <c:pt idx="0">
                  <c:v>81.013962500000005</c:v>
                </c:pt>
                <c:pt idx="1">
                  <c:v>78.778750000000002</c:v>
                </c:pt>
                <c:pt idx="2">
                  <c:v>75.919662500000001</c:v>
                </c:pt>
                <c:pt idx="3">
                  <c:v>75.212237499999986</c:v>
                </c:pt>
                <c:pt idx="4">
                  <c:v>77.091387499999996</c:v>
                </c:pt>
                <c:pt idx="5">
                  <c:v>73.370099999999994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25-4CE3-88F5-EDAC1E9CE87A}"/>
            </c:ext>
          </c:extLst>
        </c:ser>
        <c:ser>
          <c:idx val="1"/>
          <c:order val="1"/>
          <c:tx>
            <c:strRef>
              <c:f>'Outer Zone'!$A$21:$A$22</c:f>
              <c:strCache>
                <c:ptCount val="1"/>
                <c:pt idx="0">
                  <c:v>HFD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('Outer Zone'!$E$31,'Outer Zone'!$G$31,'Outer Zone'!$I$31,'Outer Zone'!$K$31,'Outer Zone'!$M$31,'Outer Zone'!$O$31)</c:f>
                <c:numCache>
                  <c:formatCode>General</c:formatCode>
                  <c:ptCount val="6"/>
                  <c:pt idx="0">
                    <c:v>1.5038697227855586</c:v>
                  </c:pt>
                  <c:pt idx="1">
                    <c:v>1.199878558137355</c:v>
                  </c:pt>
                  <c:pt idx="2">
                    <c:v>3.3805467634442401</c:v>
                  </c:pt>
                  <c:pt idx="3">
                    <c:v>6.1538299873827516</c:v>
                  </c:pt>
                  <c:pt idx="4">
                    <c:v>4.1827293680083946</c:v>
                  </c:pt>
                  <c:pt idx="5">
                    <c:v>5.0389908793604752</c:v>
                  </c:pt>
                </c:numCache>
              </c:numRef>
            </c:plus>
            <c:minus>
              <c:numRef>
                <c:f>('Outer Zone'!$E$31,'Outer Zone'!$G$31,'Outer Zone'!$I$31,'Outer Zone'!$K$31,'Outer Zone'!$M$31,'Outer Zone'!$O$31)</c:f>
                <c:numCache>
                  <c:formatCode>General</c:formatCode>
                  <c:ptCount val="6"/>
                  <c:pt idx="0">
                    <c:v>1.5038697227855586</c:v>
                  </c:pt>
                  <c:pt idx="1">
                    <c:v>1.199878558137355</c:v>
                  </c:pt>
                  <c:pt idx="2">
                    <c:v>3.3805467634442401</c:v>
                  </c:pt>
                  <c:pt idx="3">
                    <c:v>6.1538299873827516</c:v>
                  </c:pt>
                  <c:pt idx="4">
                    <c:v>4.1827293680083946</c:v>
                  </c:pt>
                  <c:pt idx="5">
                    <c:v>5.0389908793604752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('Outer Zone'!$E$5,'Outer Zone'!$G$5,'Outer Zone'!$I$5,'Outer Zone'!$K$5,'Outer Zone'!$M$5,'Outer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('Outer Zone'!$E$30,'Outer Zone'!$G$30,'Outer Zone'!$I$30,'Outer Zone'!$K$30,'Outer Zone'!$M$30,'Outer Zone'!$O$30)</c:f>
              <c:numCache>
                <c:formatCode>0.00</c:formatCode>
                <c:ptCount val="6"/>
                <c:pt idx="0">
                  <c:v>93.89266666666667</c:v>
                </c:pt>
                <c:pt idx="1">
                  <c:v>90.426016666666669</c:v>
                </c:pt>
                <c:pt idx="2">
                  <c:v>90.013050000000007</c:v>
                </c:pt>
                <c:pt idx="3">
                  <c:v>85.658083333333323</c:v>
                </c:pt>
                <c:pt idx="4">
                  <c:v>87.795900000000003</c:v>
                </c:pt>
                <c:pt idx="5">
                  <c:v>89.505516666666665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25-4CE3-88F5-EDAC1E9C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'Outer Zone'!$A$33:$A$34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('Outer Zone'!$E$43,'Outer Zone'!$G$43,'Outer Zone'!$I$43,'Outer Zone'!$K$43,'Outer Zone'!$M$43,'Outer Zone'!$O$43)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('Outer Zone'!$E$43,'Outer Zone'!$G$43,'Outer Zone'!$I$43,'Outer Zone'!$K$43,'Outer Zone'!$M$43,'Outer Zone'!$O$43)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('Outer Zone'!$E$42,'Outer Zone'!$G$42,'Outer Zone'!$I$42,'Outer Zone'!$K$42,'Outer Zone'!$M$42,'Outer Zone'!$O$42)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7E1-422A-BA08-690C8AD793F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'Outer Zone'!$A$45:$A$46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('Outer Zone'!$E$55,'Outer Zone'!$G$55,'Outer Zone'!$I$55,'Outer Zone'!$K$55,'Outer Zone'!$M$55,'Outer Zone'!$O$55)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('Outer Zone'!$E$55,'Outer Zone'!$G$55,'Outer Zone'!$I$55,'Outer Zone'!$K$55,'Outer Zone'!$M$55,'Outer Zone'!$O$55)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('Outer Zone'!$E$54,'Outer Zone'!$G$54,'Outer Zone'!$I$54,'Outer Zone'!$K$54,'Outer Zone'!$M$54,'Outer Zone'!$O$54)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929-41D0-9E65-CBA341159F1D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peroids (min)</a:t>
                </a:r>
              </a:p>
            </c:rich>
          </c:tx>
          <c:layout>
            <c:manualLayout>
              <c:xMode val="edge"/>
              <c:yMode val="edge"/>
              <c:x val="0.29747692828718997"/>
              <c:y val="0.90249066489167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  <c:max val="140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752671238675811"/>
          <c:y val="0.13526801759414017"/>
          <c:w val="0.7924731182795699"/>
          <c:h val="0.108747278368370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Frequency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(times)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8935854379873983"/>
        </c:manualLayout>
      </c:layout>
      <c:lineChart>
        <c:grouping val="standard"/>
        <c:varyColors val="0"/>
        <c:ser>
          <c:idx val="0"/>
          <c:order val="0"/>
          <c:tx>
            <c:strRef>
              <c:f>'Outer Zone'!$A$9:$A$10</c:f>
              <c:strCache>
                <c:ptCount val="1"/>
                <c:pt idx="0">
                  <c:v>HFD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('Outer Zone'!$F$19,'Outer Zone'!$H$19,'Outer Zone'!$J$19,'Outer Zone'!$L$19,'Outer Zone'!$N$19,'Outer Zone'!$P$19)</c:f>
                <c:numCache>
                  <c:formatCode>General</c:formatCode>
                  <c:ptCount val="6"/>
                  <c:pt idx="0">
                    <c:v>2.2315713554098409</c:v>
                  </c:pt>
                  <c:pt idx="1">
                    <c:v>1.3058932356273014</c:v>
                  </c:pt>
                  <c:pt idx="2">
                    <c:v>1.6359521037347902</c:v>
                  </c:pt>
                  <c:pt idx="3">
                    <c:v>1.3758114488755873</c:v>
                  </c:pt>
                  <c:pt idx="4">
                    <c:v>1.5439975943726634</c:v>
                  </c:pt>
                  <c:pt idx="5">
                    <c:v>1.6118977280566795</c:v>
                  </c:pt>
                </c:numCache>
              </c:numRef>
            </c:plus>
            <c:minus>
              <c:numRef>
                <c:f>('Outer Zone'!$F$19,'Outer Zone'!$H$19,'Outer Zone'!$J$19,'Outer Zone'!$L$19,'Outer Zone'!$N$19,'Outer Zone'!$P$19)</c:f>
                <c:numCache>
                  <c:formatCode>General</c:formatCode>
                  <c:ptCount val="6"/>
                  <c:pt idx="0">
                    <c:v>2.2315713554098409</c:v>
                  </c:pt>
                  <c:pt idx="1">
                    <c:v>1.3058932356273014</c:v>
                  </c:pt>
                  <c:pt idx="2">
                    <c:v>1.6359521037347902</c:v>
                  </c:pt>
                  <c:pt idx="3">
                    <c:v>1.3758114488755873</c:v>
                  </c:pt>
                  <c:pt idx="4">
                    <c:v>1.5439975943726634</c:v>
                  </c:pt>
                  <c:pt idx="5">
                    <c:v>1.6118977280566795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('Outer Zone'!$E$5,'Outer Zone'!$G$5,'Outer Zone'!$I$5,'Outer Zone'!$K$5,'Outer Zone'!$M$5,'Outer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('Outer Zone'!$F$18,'Outer Zone'!$H$18,'Outer Zone'!$J$18,'Outer Zone'!$L$18,'Outer Zone'!$N$18,'Outer Zone'!$P$18)</c:f>
              <c:numCache>
                <c:formatCode>0.00</c:formatCode>
                <c:ptCount val="6"/>
                <c:pt idx="0">
                  <c:v>23.875</c:v>
                </c:pt>
                <c:pt idx="1">
                  <c:v>21.25</c:v>
                </c:pt>
                <c:pt idx="2">
                  <c:v>17.625</c:v>
                </c:pt>
                <c:pt idx="3">
                  <c:v>19.5</c:v>
                </c:pt>
                <c:pt idx="4">
                  <c:v>16.25</c:v>
                </c:pt>
                <c:pt idx="5">
                  <c:v>18.75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7-4A69-BF95-F46FF7F35786}"/>
            </c:ext>
          </c:extLst>
        </c:ser>
        <c:ser>
          <c:idx val="1"/>
          <c:order val="1"/>
          <c:tx>
            <c:strRef>
              <c:f>'Outer Zone'!$A$21:$A$22</c:f>
              <c:strCache>
                <c:ptCount val="1"/>
                <c:pt idx="0">
                  <c:v>HFD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('Outer Zone'!$F$31,'Outer Zone'!$H$31,'Outer Zone'!$J$31,'Outer Zone'!$L$31,'Outer Zone'!$N$31,'Outer Zone'!$P$31)</c:f>
                <c:numCache>
                  <c:formatCode>General</c:formatCode>
                  <c:ptCount val="6"/>
                  <c:pt idx="0">
                    <c:v>2.8915585954829117</c:v>
                  </c:pt>
                  <c:pt idx="1">
                    <c:v>1.5147423690002357</c:v>
                  </c:pt>
                  <c:pt idx="2">
                    <c:v>3.5652645218989174</c:v>
                  </c:pt>
                  <c:pt idx="3">
                    <c:v>2.6583202716502514</c:v>
                  </c:pt>
                  <c:pt idx="4">
                    <c:v>2.6708300832013507</c:v>
                  </c:pt>
                  <c:pt idx="5">
                    <c:v>2.486630920207769</c:v>
                  </c:pt>
                </c:numCache>
              </c:numRef>
            </c:plus>
            <c:minus>
              <c:numRef>
                <c:f>('Outer Zone'!$F$31,'Outer Zone'!$H$31,'Outer Zone'!$J$31,'Outer Zone'!$L$31,'Outer Zone'!$N$31,'Outer Zone'!$P$31)</c:f>
                <c:numCache>
                  <c:formatCode>General</c:formatCode>
                  <c:ptCount val="6"/>
                  <c:pt idx="0">
                    <c:v>2.8915585954829117</c:v>
                  </c:pt>
                  <c:pt idx="1">
                    <c:v>1.5147423690002357</c:v>
                  </c:pt>
                  <c:pt idx="2">
                    <c:v>3.5652645218989174</c:v>
                  </c:pt>
                  <c:pt idx="3">
                    <c:v>2.6583202716502514</c:v>
                  </c:pt>
                  <c:pt idx="4">
                    <c:v>2.6708300832013507</c:v>
                  </c:pt>
                  <c:pt idx="5">
                    <c:v>2.486630920207769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('Outer Zone'!$E$5,'Outer Zone'!$G$5,'Outer Zone'!$I$5,'Outer Zone'!$K$5,'Outer Zone'!$M$5,'Outer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('Outer Zone'!$F$30,'Outer Zone'!$H$30,'Outer Zone'!$J$30,'Outer Zone'!$L$30,'Outer Zone'!$N$30,'Outer Zone'!$P$30)</c:f>
              <c:numCache>
                <c:formatCode>0.00</c:formatCode>
                <c:ptCount val="6"/>
                <c:pt idx="0">
                  <c:v>14.833333333333334</c:v>
                </c:pt>
                <c:pt idx="1">
                  <c:v>12.833333333333334</c:v>
                </c:pt>
                <c:pt idx="2">
                  <c:v>12.666666666666666</c:v>
                </c:pt>
                <c:pt idx="3">
                  <c:v>12</c:v>
                </c:pt>
                <c:pt idx="4">
                  <c:v>12</c:v>
                </c:pt>
                <c:pt idx="5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77-4A69-BF95-F46FF7F3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'Outer Zone'!$A$33:$A$34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('Outer Zone'!$F$43,'Outer Zone'!$H$43,'Outer Zone'!$J$43,'Outer Zone'!$L$43,'Outer Zone'!$N$43,'Outer Zone'!$P$43)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('Outer Zone'!$F$43,'Outer Zone'!$H$43,'Outer Zone'!$J$43,'Outer Zone'!$L$43,'Outer Zone'!$N$43,'Outer Zone'!$P$43)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('Outer Zone'!$F$42,'Outer Zone'!$H$42,'Outer Zone'!$J$42,'Outer Zone'!$L$42,'Outer Zone'!$N$42,'Outer Zone'!$P$42)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9FB-4715-8C25-FEB2A23B238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'Outer Zone'!$A$45:$A$46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('Outer Zone'!$F$55,'Outer Zone'!$H$55,'Outer Zone'!$J$55,'Outer Zone'!$L$55,'Outer Zone'!$N$55,'Outer Zone'!$P$55)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('Outer Zone'!$F$55,'Outer Zone'!$H$55,'Outer Zone'!$J$55,'Outer Zone'!$L$55,'Outer Zone'!$N$55,'Outer Zone'!$P$55)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('Outer Zone'!$F$54,'Outer Zone'!$H$54,'Outer Zone'!$J$54,'Outer Zone'!$L$54,'Outer Zone'!$N$54,'Outer Zone'!$P$54)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BF5-41AA-A22B-A1B6C7EF7617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peroids (min)</a:t>
                </a:r>
              </a:p>
            </c:rich>
          </c:tx>
          <c:layout>
            <c:manualLayout>
              <c:xMode val="edge"/>
              <c:yMode val="edge"/>
              <c:x val="0.29747692828718997"/>
              <c:y val="0.898488103252223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  <c:max val="40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462348658030652"/>
          <c:y val="0.14341178354146653"/>
          <c:w val="0.80537634408602155"/>
          <c:h val="0.11240359184208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Moving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(%)</a:t>
            </a:r>
          </a:p>
        </c:rich>
      </c:tx>
      <c:layout>
        <c:manualLayout>
          <c:xMode val="edge"/>
          <c:yMode val="edge"/>
          <c:x val="0.31291372449411564"/>
          <c:y val="1.60160160160160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8938166512969661"/>
        </c:manualLayout>
      </c:layout>
      <c:lineChart>
        <c:grouping val="standard"/>
        <c:varyColors val="0"/>
        <c:ser>
          <c:idx val="0"/>
          <c:order val="0"/>
          <c:tx>
            <c:strRef>
              <c:f>Movement!$A$9:$A$10</c:f>
              <c:strCache>
                <c:ptCount val="1"/>
                <c:pt idx="0">
                  <c:v>HFD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(Movement!$E$19,Movement!$G$19,Movement!$I$19,Movement!$K$19,Movement!$M$19,Movement!$O$19)</c:f>
                <c:numCache>
                  <c:formatCode>General</c:formatCode>
                  <c:ptCount val="6"/>
                  <c:pt idx="0">
                    <c:v>0.75983903530791974</c:v>
                  </c:pt>
                  <c:pt idx="1">
                    <c:v>0.51636436342898473</c:v>
                  </c:pt>
                  <c:pt idx="2">
                    <c:v>0.53947267122956821</c:v>
                  </c:pt>
                  <c:pt idx="3">
                    <c:v>0.73710663982561186</c:v>
                  </c:pt>
                  <c:pt idx="4">
                    <c:v>0.89237431422942182</c:v>
                  </c:pt>
                  <c:pt idx="5">
                    <c:v>0.61022031878131533</c:v>
                  </c:pt>
                </c:numCache>
              </c:numRef>
            </c:plus>
            <c:minus>
              <c:numRef>
                <c:f>(Movement!$E$19,Movement!$G$19,Movement!$I$19,Movement!$K$19,Movement!$M$19,Movement!$O$19)</c:f>
                <c:numCache>
                  <c:formatCode>General</c:formatCode>
                  <c:ptCount val="6"/>
                  <c:pt idx="0">
                    <c:v>0.75983903530791974</c:v>
                  </c:pt>
                  <c:pt idx="1">
                    <c:v>0.51636436342898473</c:v>
                  </c:pt>
                  <c:pt idx="2">
                    <c:v>0.53947267122956821</c:v>
                  </c:pt>
                  <c:pt idx="3">
                    <c:v>0.73710663982561186</c:v>
                  </c:pt>
                  <c:pt idx="4">
                    <c:v>0.89237431422942182</c:v>
                  </c:pt>
                  <c:pt idx="5">
                    <c:v>0.61022031878131533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(Movement!$E$5,Movement!$G$5,Movement!$I$5,Movement!$K$5,Movement!$M$5,Movement!$O$5)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(Movement!$E$18,Movement!$G$18,Movement!$I$18,Movement!$K$18,Movement!$M$18,Movement!$O$18)</c:f>
              <c:numCache>
                <c:formatCode>0.00</c:formatCode>
                <c:ptCount val="6"/>
                <c:pt idx="0">
                  <c:v>12.923477500000002</c:v>
                </c:pt>
                <c:pt idx="1">
                  <c:v>10.24369875</c:v>
                </c:pt>
                <c:pt idx="2">
                  <c:v>9.0322350000000018</c:v>
                </c:pt>
                <c:pt idx="3">
                  <c:v>9.6054649999999988</c:v>
                </c:pt>
                <c:pt idx="4">
                  <c:v>7.6027099999999992</c:v>
                </c:pt>
                <c:pt idx="5">
                  <c:v>8.8201000000000001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71-4E31-B1A5-2606C21456E4}"/>
            </c:ext>
          </c:extLst>
        </c:ser>
        <c:ser>
          <c:idx val="1"/>
          <c:order val="1"/>
          <c:tx>
            <c:strRef>
              <c:f>Movement!$A$21:$A$22</c:f>
              <c:strCache>
                <c:ptCount val="1"/>
                <c:pt idx="0">
                  <c:v>HFD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(Movement!$E$31,Movement!$G$31,Movement!$I$31,Movement!$K$31,Movement!$M$31,Movement!$O$31)</c:f>
                <c:numCache>
                  <c:formatCode>General</c:formatCode>
                  <c:ptCount val="6"/>
                  <c:pt idx="0">
                    <c:v>1.0762994940742274</c:v>
                  </c:pt>
                  <c:pt idx="1">
                    <c:v>0.69631562308577621</c:v>
                  </c:pt>
                  <c:pt idx="2">
                    <c:v>1.2268092792998055</c:v>
                  </c:pt>
                  <c:pt idx="3">
                    <c:v>1.1532533449991234</c:v>
                  </c:pt>
                  <c:pt idx="4">
                    <c:v>1.2300834984937694</c:v>
                  </c:pt>
                  <c:pt idx="5">
                    <c:v>1.0244036640331022</c:v>
                  </c:pt>
                </c:numCache>
              </c:numRef>
            </c:plus>
            <c:minus>
              <c:numRef>
                <c:f>(Movement!$E$31,Movement!$G$31,Movement!$I$31,Movement!$K$31,Movement!$M$31,Movement!$O$31)</c:f>
                <c:numCache>
                  <c:formatCode>General</c:formatCode>
                  <c:ptCount val="6"/>
                  <c:pt idx="0">
                    <c:v>1.0762994940742274</c:v>
                  </c:pt>
                  <c:pt idx="1">
                    <c:v>0.69631562308577621</c:v>
                  </c:pt>
                  <c:pt idx="2">
                    <c:v>1.2268092792998055</c:v>
                  </c:pt>
                  <c:pt idx="3">
                    <c:v>1.1532533449991234</c:v>
                  </c:pt>
                  <c:pt idx="4">
                    <c:v>1.2300834984937694</c:v>
                  </c:pt>
                  <c:pt idx="5">
                    <c:v>1.0244036640331022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(Movement!$E$5,Movement!$G$5,Movement!$I$5,Movement!$K$5,Movement!$M$5,Movement!$O$5)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(Movement!$E$30,Movement!$G$30,Movement!$I$30,Movement!$K$30,Movement!$M$30,Movement!$O$30)</c:f>
              <c:numCache>
                <c:formatCode>0.00</c:formatCode>
                <c:ptCount val="6"/>
                <c:pt idx="0">
                  <c:v>10.911016666666669</c:v>
                </c:pt>
                <c:pt idx="1">
                  <c:v>7.3443700000000005</c:v>
                </c:pt>
                <c:pt idx="2">
                  <c:v>7.340671666666668</c:v>
                </c:pt>
                <c:pt idx="3">
                  <c:v>7.3512549999999992</c:v>
                </c:pt>
                <c:pt idx="4">
                  <c:v>7.2999299999999989</c:v>
                </c:pt>
                <c:pt idx="5">
                  <c:v>5.1565033333333332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71-4E31-B1A5-2606C2145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Movement!$A$33:$A$34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(Movement!$E$43,Movement!$G$43,Movement!$I$43,Movement!$K$43,Movement!$M$43,Movement!$O$43)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(Movement!$O$43,Movement!$M$43,Movement!$K$43,Movement!$I$43,Movement!$G$43,Movement!$E$43)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(Movement!$E$42,Movement!$G$42,Movement!$I$42,Movement!$K$42,Movement!$M$42,Movement!$O$42)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2F7-458F-BA71-73EDF69BC0E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Movement!$A$45:$A$46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(Movement!$E$55,Movement!$G$55,Movement!$I$55,Movement!$K$55,Movement!$M$55,Movement!$O$55)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(Movement!$E$55,Movement!$G$55,Movement!$I$55,Movement!$K$55,Movement!$M$55,Movement!$O$55)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(Movement!$E$54,Movement!$G$54,Movement!$I$54,Movement!$K$54,Movement!$M$54,Movement!$O$54)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BC1-411D-9AFF-4E63DD4FC15F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peroids (min)</a:t>
                </a:r>
              </a:p>
            </c:rich>
          </c:tx>
          <c:layout>
            <c:manualLayout>
              <c:xMode val="edge"/>
              <c:yMode val="edge"/>
              <c:x val="0.29747692828718997"/>
              <c:y val="0.89849376935991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32256371179409"/>
          <c:y val="0.13567579281947556"/>
          <c:w val="0.80107526881720426"/>
          <c:h val="0.104436089632940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Not Moving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9336110543818912"/>
        </c:manualLayout>
      </c:layout>
      <c:lineChart>
        <c:grouping val="standard"/>
        <c:varyColors val="0"/>
        <c:ser>
          <c:idx val="0"/>
          <c:order val="0"/>
          <c:tx>
            <c:strRef>
              <c:f>Movement!$A$9:$A$10</c:f>
              <c:strCache>
                <c:ptCount val="1"/>
                <c:pt idx="0">
                  <c:v>HFD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(Movement!$F$19,Movement!$H$19,Movement!$J$19,Movement!$L$19,Movement!$N$19,Movement!$P$19)</c:f>
                <c:numCache>
                  <c:formatCode>General</c:formatCode>
                  <c:ptCount val="6"/>
                  <c:pt idx="0">
                    <c:v>0.85711195405601126</c:v>
                  </c:pt>
                  <c:pt idx="1">
                    <c:v>0.51856599660488789</c:v>
                  </c:pt>
                  <c:pt idx="2">
                    <c:v>0.54489000821184708</c:v>
                  </c:pt>
                  <c:pt idx="3">
                    <c:v>0.75917955937349646</c:v>
                  </c:pt>
                  <c:pt idx="4">
                    <c:v>0.91222672223951928</c:v>
                  </c:pt>
                  <c:pt idx="5">
                    <c:v>0.64856407127867566</c:v>
                  </c:pt>
                </c:numCache>
              </c:numRef>
            </c:plus>
            <c:minus>
              <c:numRef>
                <c:f>(Movement!$F$19,Movement!$H$19,Movement!$J$19,Movement!$L$19,Movement!$N$19,Movement!$P$19)</c:f>
                <c:numCache>
                  <c:formatCode>General</c:formatCode>
                  <c:ptCount val="6"/>
                  <c:pt idx="0">
                    <c:v>0.85711195405601126</c:v>
                  </c:pt>
                  <c:pt idx="1">
                    <c:v>0.51856599660488789</c:v>
                  </c:pt>
                  <c:pt idx="2">
                    <c:v>0.54489000821184708</c:v>
                  </c:pt>
                  <c:pt idx="3">
                    <c:v>0.75917955937349646</c:v>
                  </c:pt>
                  <c:pt idx="4">
                    <c:v>0.91222672223951928</c:v>
                  </c:pt>
                  <c:pt idx="5">
                    <c:v>0.64856407127867566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(Movement!$E$5,Movement!$G$5,Movement!$I$5,Movement!$K$5,Movement!$M$5,Movement!$O$5)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(Movement!$F$18,Movement!$H$18,Movement!$J$18,Movement!$L$18,Movement!$N$18,Movement!$P$18)</c:f>
              <c:numCache>
                <c:formatCode>0.00</c:formatCode>
                <c:ptCount val="6"/>
                <c:pt idx="0">
                  <c:v>86.307099999999991</c:v>
                </c:pt>
                <c:pt idx="1">
                  <c:v>89.7507375</c:v>
                </c:pt>
                <c:pt idx="2">
                  <c:v>90.935437499999992</c:v>
                </c:pt>
                <c:pt idx="3">
                  <c:v>90.355012499999987</c:v>
                </c:pt>
                <c:pt idx="4">
                  <c:v>92.355625000000003</c:v>
                </c:pt>
                <c:pt idx="5">
                  <c:v>91.123574999999988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00-4FC4-A36D-797048242962}"/>
            </c:ext>
          </c:extLst>
        </c:ser>
        <c:ser>
          <c:idx val="1"/>
          <c:order val="1"/>
          <c:tx>
            <c:strRef>
              <c:f>Movement!$A$21:$A$22</c:f>
              <c:strCache>
                <c:ptCount val="1"/>
                <c:pt idx="0">
                  <c:v>HFD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(Movement!$F$31,Movement!$H$31,Movement!$J$31,Movement!$L$31,Movement!$N$31,Movement!$P$31)</c:f>
                <c:numCache>
                  <c:formatCode>General</c:formatCode>
                  <c:ptCount val="6"/>
                  <c:pt idx="0">
                    <c:v>1.0729918404991621</c:v>
                  </c:pt>
                  <c:pt idx="1">
                    <c:v>0.69566477878676947</c:v>
                  </c:pt>
                  <c:pt idx="2">
                    <c:v>1.2285695001369155</c:v>
                  </c:pt>
                  <c:pt idx="3">
                    <c:v>1.1560201196105739</c:v>
                  </c:pt>
                  <c:pt idx="4">
                    <c:v>1.2606363278563373</c:v>
                  </c:pt>
                  <c:pt idx="5">
                    <c:v>1.0328751931703395</c:v>
                  </c:pt>
                </c:numCache>
              </c:numRef>
            </c:plus>
            <c:minus>
              <c:numRef>
                <c:f>(Movement!$F$31,Movement!$H$31,Movement!$J$31,Movement!$L$31,Movement!$N$31,Movement!$P$31)</c:f>
                <c:numCache>
                  <c:formatCode>General</c:formatCode>
                  <c:ptCount val="6"/>
                  <c:pt idx="0">
                    <c:v>1.0729918404991621</c:v>
                  </c:pt>
                  <c:pt idx="1">
                    <c:v>0.69566477878676947</c:v>
                  </c:pt>
                  <c:pt idx="2">
                    <c:v>1.2285695001369155</c:v>
                  </c:pt>
                  <c:pt idx="3">
                    <c:v>1.1560201196105739</c:v>
                  </c:pt>
                  <c:pt idx="4">
                    <c:v>1.2606363278563373</c:v>
                  </c:pt>
                  <c:pt idx="5">
                    <c:v>1.0328751931703395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(Movement!$E$5,Movement!$G$5,Movement!$I$5,Movement!$K$5,Movement!$M$5,Movement!$O$5)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(Movement!$F$30,Movement!$H$30,Movement!$J$30,Movement!$L$30,Movement!$N$30,Movement!$P$30)</c:f>
              <c:numCache>
                <c:formatCode>0.00</c:formatCode>
                <c:ptCount val="6"/>
                <c:pt idx="0">
                  <c:v>89.055666666666653</c:v>
                </c:pt>
                <c:pt idx="1">
                  <c:v>92.653766666666669</c:v>
                </c:pt>
                <c:pt idx="2">
                  <c:v>92.656300000000002</c:v>
                </c:pt>
                <c:pt idx="3">
                  <c:v>92.622816666666665</c:v>
                </c:pt>
                <c:pt idx="4">
                  <c:v>92.625466666666668</c:v>
                </c:pt>
                <c:pt idx="5">
                  <c:v>94.822099999999992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00-4FC4-A36D-797048242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Movement!$A$33:$A$34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(Movement!$F$43,Movement!$H$43,Movement!$J$43,Movement!$L$43,Movement!$N$43,Movement!$P$43)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(Movement!$P$43,Movement!$N$43,Movement!$L$43,Movement!$J$43,Movement!$H$43,Movement!$F$43)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(Movement!$F$42,Movement!$H$42,Movement!$J$42,Movement!$L$42,Movement!$N$42,Movement!$P$42)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B5A-4EF2-93B0-A07DDABD08A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Movement!$A$45:$A$46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(Movement!$F$55,Movement!$H$55,Movement!$J$55,Movement!$L$55,Movement!$N$55,Movement!$P$55)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(Movement!$F$55,Movement!$H$55,Movement!$J$55,Movement!$L$55,Movement!$N$55,Movement!$P$55)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(Movement!$F$54,Movement!$H$54,Movement!$J$54,Movement!$L$54,Movement!$N$54,Movement!$P$54)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1B7-4B65-8982-8907118AFE02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peroids (min)</a:t>
                </a:r>
              </a:p>
            </c:rich>
          </c:tx>
          <c:layout>
            <c:manualLayout>
              <c:xMode val="edge"/>
              <c:yMode val="edge"/>
              <c:x val="0.29747692828718997"/>
              <c:y val="0.898488103252223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  <c:max val="100"/>
          <c:min val="75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32256371179409"/>
          <c:y val="0.13584715153452478"/>
          <c:w val="0.7924731182795699"/>
          <c:h val="0.11240359184208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Distance (cm)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8935854379873983"/>
        </c:manualLayout>
      </c:layout>
      <c:lineChart>
        <c:grouping val="standard"/>
        <c:varyColors val="0"/>
        <c:ser>
          <c:idx val="0"/>
          <c:order val="0"/>
          <c:tx>
            <c:strRef>
              <c:f>'Distance &amp; Velocity'!$A$9:$A$10</c:f>
              <c:strCache>
                <c:ptCount val="1"/>
                <c:pt idx="0">
                  <c:v>HFD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('Distance &amp; Velocity'!$E$19,'Distance &amp; Velocity'!$G$19,'Distance &amp; Velocity'!$I$19,'Distance &amp; Velocity'!$K$19,'Distance &amp; Velocity'!$M$19,'Distance &amp; Velocity'!$O$19)</c:f>
                <c:numCache>
                  <c:formatCode>General</c:formatCode>
                  <c:ptCount val="6"/>
                  <c:pt idx="0">
                    <c:v>74.646885029019927</c:v>
                  </c:pt>
                  <c:pt idx="1">
                    <c:v>60.342196802437883</c:v>
                  </c:pt>
                  <c:pt idx="2">
                    <c:v>59.304918521629276</c:v>
                  </c:pt>
                  <c:pt idx="3">
                    <c:v>83.462885625192527</c:v>
                  </c:pt>
                  <c:pt idx="4">
                    <c:v>94.760133656914732</c:v>
                  </c:pt>
                  <c:pt idx="5">
                    <c:v>69.608585443894725</c:v>
                  </c:pt>
                </c:numCache>
              </c:numRef>
            </c:plus>
            <c:minus>
              <c:numRef>
                <c:f>('Distance &amp; Velocity'!$E$19,'Distance &amp; Velocity'!$G$19,'Distance &amp; Velocity'!$I$19,'Distance &amp; Velocity'!$K$19,'Distance &amp; Velocity'!$M$19,'Distance &amp; Velocity'!$O$19)</c:f>
                <c:numCache>
                  <c:formatCode>General</c:formatCode>
                  <c:ptCount val="6"/>
                  <c:pt idx="0">
                    <c:v>74.646885029019927</c:v>
                  </c:pt>
                  <c:pt idx="1">
                    <c:v>60.342196802437883</c:v>
                  </c:pt>
                  <c:pt idx="2">
                    <c:v>59.304918521629276</c:v>
                  </c:pt>
                  <c:pt idx="3">
                    <c:v>83.462885625192527</c:v>
                  </c:pt>
                  <c:pt idx="4">
                    <c:v>94.760133656914732</c:v>
                  </c:pt>
                  <c:pt idx="5">
                    <c:v>69.608585443894725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('Distance &amp; Velocity'!$E$5,'Distance &amp; Velocity'!$G$5,'Distance &amp; Velocity'!$I$5,'Distance &amp; Velocity'!$K$5,'Distance &amp; Velocity'!$M$5,'Distance &amp; Velocity'!$O$5)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('Distance &amp; Velocity'!$E$18,'Distance &amp; Velocity'!$G$18,'Distance &amp; Velocity'!$I$18,'Distance &amp; Velocity'!$K$18,'Distance &amp; Velocity'!$M$18,'Distance &amp; Velocity'!$O$18)</c:f>
              <c:numCache>
                <c:formatCode>0.00</c:formatCode>
                <c:ptCount val="6"/>
                <c:pt idx="0">
                  <c:v>1391.6244999999999</c:v>
                </c:pt>
                <c:pt idx="1">
                  <c:v>1080.8028750000001</c:v>
                </c:pt>
                <c:pt idx="2">
                  <c:v>942.03850000000011</c:v>
                </c:pt>
                <c:pt idx="3">
                  <c:v>1005.8707499999998</c:v>
                </c:pt>
                <c:pt idx="4">
                  <c:v>788.27962500000001</c:v>
                </c:pt>
                <c:pt idx="5">
                  <c:v>916.07350000000008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A-485C-A951-F30DF2CB4C07}"/>
            </c:ext>
          </c:extLst>
        </c:ser>
        <c:ser>
          <c:idx val="1"/>
          <c:order val="1"/>
          <c:tx>
            <c:strRef>
              <c:f>'Distance &amp; Velocity'!$A$21:$A$22</c:f>
              <c:strCache>
                <c:ptCount val="1"/>
                <c:pt idx="0">
                  <c:v>HFD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('Distance &amp; Velocity'!$E$31,'Distance &amp; Velocity'!$G$31,'Distance &amp; Velocity'!$I$31,'Distance &amp; Velocity'!$K$31,'Distance &amp; Velocity'!$M$31,'Distance &amp; Velocity'!$O$31,'Distance &amp; Velocity'!$Q$31)</c:f>
                <c:numCache>
                  <c:formatCode>General</c:formatCode>
                  <c:ptCount val="7"/>
                  <c:pt idx="0">
                    <c:v>120.92522963727541</c:v>
                  </c:pt>
                  <c:pt idx="1">
                    <c:v>79.659438134020135</c:v>
                  </c:pt>
                  <c:pt idx="2">
                    <c:v>133.02151794889343</c:v>
                  </c:pt>
                  <c:pt idx="3">
                    <c:v>123.59907411323921</c:v>
                  </c:pt>
                  <c:pt idx="4">
                    <c:v>135.76746286148381</c:v>
                  </c:pt>
                  <c:pt idx="5">
                    <c:v>108.78792048813767</c:v>
                  </c:pt>
                  <c:pt idx="6">
                    <c:v>564.57081505828592</c:v>
                  </c:pt>
                </c:numCache>
              </c:numRef>
            </c:plus>
            <c:minus>
              <c:numRef>
                <c:f>('Distance &amp; Velocity'!$E$31,'Distance &amp; Velocity'!$G$31,'Distance &amp; Velocity'!$I$31,'Distance &amp; Velocity'!$K$31,'Distance &amp; Velocity'!$M$31,'Distance &amp; Velocity'!$O$31)</c:f>
                <c:numCache>
                  <c:formatCode>General</c:formatCode>
                  <c:ptCount val="6"/>
                  <c:pt idx="0">
                    <c:v>120.92522963727541</c:v>
                  </c:pt>
                  <c:pt idx="1">
                    <c:v>79.659438134020135</c:v>
                  </c:pt>
                  <c:pt idx="2">
                    <c:v>133.02151794889343</c:v>
                  </c:pt>
                  <c:pt idx="3">
                    <c:v>123.59907411323921</c:v>
                  </c:pt>
                  <c:pt idx="4">
                    <c:v>135.76746286148381</c:v>
                  </c:pt>
                  <c:pt idx="5">
                    <c:v>108.78792048813767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('Distance &amp; Velocity'!$E$30,'Distance &amp; Velocity'!$G$30,'Distance &amp; Velocity'!$I$30,'Distance &amp; Velocity'!$K$30,'Distance &amp; Velocity'!$M$30,'Distance &amp; Velocity'!$O$30)</c:f>
              <c:numCache>
                <c:formatCode>0.00</c:formatCode>
                <c:ptCount val="6"/>
                <c:pt idx="0">
                  <c:v>1246.9098333333334</c:v>
                </c:pt>
                <c:pt idx="1">
                  <c:v>780.61316666666664</c:v>
                </c:pt>
                <c:pt idx="2">
                  <c:v>775.76216666666676</c:v>
                </c:pt>
                <c:pt idx="3">
                  <c:v>778.80949999999996</c:v>
                </c:pt>
                <c:pt idx="4">
                  <c:v>777.60466666666673</c:v>
                </c:pt>
                <c:pt idx="5">
                  <c:v>540.04799999999989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A-485C-A951-F30DF2CB4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'Distance &amp; Velocity'!$A$33:$A$34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('Distance &amp; Velocity'!$E$43,'Distance &amp; Velocity'!$G$43,'Distance &amp; Velocity'!$I$43,'Distance &amp; Velocity'!$K$43,'Distance &amp; Velocity'!$M$43,'Distance &amp; Velocity'!$O$43)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('Distance &amp; Velocity'!$O$43,'Distance &amp; Velocity'!$M$43,'Distance &amp; Velocity'!$K$43,'Distance &amp; Velocity'!$I$43,'Distance &amp; Velocity'!$I$43,'Distance &amp; Velocity'!$G$43,'Distance &amp; Velocity'!$E$43)</c15:sqref>
                          </c15:formulaRef>
                        </c:ext>
                      </c:extLst>
                      <c:numCache>
                        <c:formatCode>General</c:formatCode>
                        <c:ptCount val="7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  <c:pt idx="6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('Distance &amp; Velocity'!$E$42,'Distance &amp; Velocity'!$G$42,'Distance &amp; Velocity'!$I$42,'Distance &amp; Velocity'!$K$42,'Distance &amp; Velocity'!$M$42,'Distance &amp; Velocity'!$O$42)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AB4-44FD-AC6E-993257F9841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'Distance &amp; Velocity'!$A$45:$A$46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('Distance &amp; Velocity'!$E$55,'Distance &amp; Velocity'!$G$55,'Distance &amp; Velocity'!$I$55,'Distance &amp; Velocity'!$K$55,'Distance &amp; Velocity'!$M$55,'Distance &amp; Velocity'!$O$55)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('Distance &amp; Velocity'!$E$55,'Distance &amp; Velocity'!$G$55,'Distance &amp; Velocity'!$I$55,'Distance &amp; Velocity'!$K$55,'Distance &amp; Velocity'!$M$55,'Distance &amp; Velocity'!$O$55)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('Distance &amp; Velocity'!$E$54,'Distance &amp; Velocity'!$G$54,'Distance &amp; Velocity'!$I$54,'Distance &amp; Velocity'!$K$54,'Distance &amp; Velocity'!$M$54,'Distance &amp; Velocity'!$O$54)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2ED-4ACD-971E-2791575B9B93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periods (min)</a:t>
                </a:r>
              </a:p>
            </c:rich>
          </c:tx>
          <c:layout>
            <c:manualLayout>
              <c:xMode val="edge"/>
              <c:yMode val="edge"/>
              <c:x val="0.31468122936245879"/>
              <c:y val="0.902467027716636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  <c:majorUnit val="4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182778765557534"/>
          <c:y val="0.13940909774404753"/>
          <c:w val="0.7924731182795699"/>
          <c:h val="0.108401030202636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0">
                <a:solidFill>
                  <a:srgbClr val="000099"/>
                </a:solidFill>
                <a:latin typeface="Arial Rounded MT Bold" panose="020F0704030504030204" pitchFamily="34" charset="0"/>
              </a:rPr>
              <a:t>Velocity (cm/s)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8135342051984137"/>
        </c:manualLayout>
      </c:layout>
      <c:lineChart>
        <c:grouping val="standard"/>
        <c:varyColors val="0"/>
        <c:ser>
          <c:idx val="0"/>
          <c:order val="0"/>
          <c:tx>
            <c:strRef>
              <c:f>'Distance &amp; Velocity'!$A$9:$A$10</c:f>
              <c:strCache>
                <c:ptCount val="1"/>
                <c:pt idx="0">
                  <c:v>HFD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('Distance &amp; Velocity'!$F$19,'Distance &amp; Velocity'!$H$19,'Distance &amp; Velocity'!$J$19,'Distance &amp; Velocity'!$L$19,'Distance &amp; Velocity'!$N$19,'Distance &amp; Velocity'!$P$19)</c:f>
                <c:numCache>
                  <c:formatCode>General</c:formatCode>
                  <c:ptCount val="6"/>
                  <c:pt idx="0">
                    <c:v>2239.417844906312</c:v>
                  </c:pt>
                  <c:pt idx="1">
                    <c:v>1810.2793962535075</c:v>
                  </c:pt>
                  <c:pt idx="2">
                    <c:v>1779.1653706300337</c:v>
                  </c:pt>
                  <c:pt idx="3">
                    <c:v>2503.904221981566</c:v>
                  </c:pt>
                  <c:pt idx="4">
                    <c:v>2842.8258545753311</c:v>
                  </c:pt>
                  <c:pt idx="5">
                    <c:v>2088.2738260717329</c:v>
                  </c:pt>
                </c:numCache>
              </c:numRef>
            </c:plus>
            <c:minus>
              <c:numRef>
                <c:f>('Distance &amp; Velocity'!$F$19,'Distance &amp; Velocity'!$H$19,'Distance &amp; Velocity'!$J$19,'Distance &amp; Velocity'!$L$19,'Distance &amp; Velocity'!$N$19,'Distance &amp; Velocity'!$P$19)</c:f>
                <c:numCache>
                  <c:formatCode>General</c:formatCode>
                  <c:ptCount val="6"/>
                  <c:pt idx="0">
                    <c:v>2239.417844906312</c:v>
                  </c:pt>
                  <c:pt idx="1">
                    <c:v>1810.2793962535075</c:v>
                  </c:pt>
                  <c:pt idx="2">
                    <c:v>1779.1653706300337</c:v>
                  </c:pt>
                  <c:pt idx="3">
                    <c:v>2503.904221981566</c:v>
                  </c:pt>
                  <c:pt idx="4">
                    <c:v>2842.8258545753311</c:v>
                  </c:pt>
                  <c:pt idx="5">
                    <c:v>2088.2738260717329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('Distance &amp; Velocity'!$E$5,'Distance &amp; Velocity'!$G$5,'Distance &amp; Velocity'!$I$5,'Distance &amp; Velocity'!$K$5,'Distance &amp; Velocity'!$M$5,'Distance &amp; Velocity'!$O$5)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('Distance &amp; Velocity'!$F$18,'Distance &amp; Velocity'!$H$18,'Distance &amp; Velocity'!$J$18,'Distance &amp; Velocity'!$L$18,'Distance &amp; Velocity'!$N$18,'Distance &amp; Velocity'!$P$18)</c:f>
              <c:numCache>
                <c:formatCode>0.00</c:formatCode>
                <c:ptCount val="6"/>
                <c:pt idx="0">
                  <c:v>41749.1875</c:v>
                </c:pt>
                <c:pt idx="1">
                  <c:v>32424.400000000001</c:v>
                </c:pt>
                <c:pt idx="2">
                  <c:v>28261.4375</c:v>
                </c:pt>
                <c:pt idx="3">
                  <c:v>30176.400000000005</c:v>
                </c:pt>
                <c:pt idx="4">
                  <c:v>23648.612500000003</c:v>
                </c:pt>
                <c:pt idx="5">
                  <c:v>27482.487499999996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02-463A-A25B-6484E2E1F392}"/>
            </c:ext>
          </c:extLst>
        </c:ser>
        <c:ser>
          <c:idx val="1"/>
          <c:order val="1"/>
          <c:tx>
            <c:strRef>
              <c:f>'Distance &amp; Velocity'!$A$21:$A$22</c:f>
              <c:strCache>
                <c:ptCount val="1"/>
                <c:pt idx="0">
                  <c:v>HFD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('Distance &amp; Velocity'!$F$31,'Distance &amp; Velocity'!$H$31,'Distance &amp; Velocity'!$J$31,'Distance &amp; Velocity'!$L$31,'Distance &amp; Velocity'!$N$31,'Distance &amp; Velocity'!$P$31)</c:f>
                <c:numCache>
                  <c:formatCode>General</c:formatCode>
                  <c:ptCount val="6"/>
                  <c:pt idx="0">
                    <c:v>3627.7832858602219</c:v>
                  </c:pt>
                  <c:pt idx="1">
                    <c:v>2389.8102152565257</c:v>
                  </c:pt>
                  <c:pt idx="2">
                    <c:v>3990.6759662507211</c:v>
                  </c:pt>
                  <c:pt idx="3">
                    <c:v>3708.0144885549385</c:v>
                  </c:pt>
                  <c:pt idx="4">
                    <c:v>4073.084680299643</c:v>
                  </c:pt>
                  <c:pt idx="5">
                    <c:v>3263.6633166731194</c:v>
                  </c:pt>
                </c:numCache>
              </c:numRef>
            </c:plus>
            <c:minus>
              <c:numRef>
                <c:f>('Distance &amp; Velocity'!$F$31,'Distance &amp; Velocity'!$H$31,'Distance &amp; Velocity'!$J$31,'Distance &amp; Velocity'!$L$31,'Distance &amp; Velocity'!$N$31,'Distance &amp; Velocity'!$P$31)</c:f>
                <c:numCache>
                  <c:formatCode>General</c:formatCode>
                  <c:ptCount val="6"/>
                  <c:pt idx="0">
                    <c:v>3627.7832858602219</c:v>
                  </c:pt>
                  <c:pt idx="1">
                    <c:v>2389.8102152565257</c:v>
                  </c:pt>
                  <c:pt idx="2">
                    <c:v>3990.6759662507211</c:v>
                  </c:pt>
                  <c:pt idx="3">
                    <c:v>3708.0144885549385</c:v>
                  </c:pt>
                  <c:pt idx="4">
                    <c:v>4073.084680299643</c:v>
                  </c:pt>
                  <c:pt idx="5">
                    <c:v>3263.6633166731194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('Distance &amp; Velocity'!$F$30,'Distance &amp; Velocity'!$H$30,'Distance &amp; Velocity'!$J$30,'Distance &amp; Velocity'!$L$30,'Distance &amp; Velocity'!$N$30,'Distance &amp; Velocity'!$P$30)</c:f>
              <c:numCache>
                <c:formatCode>0.00</c:formatCode>
                <c:ptCount val="6"/>
                <c:pt idx="0">
                  <c:v>37407.649999999994</c:v>
                </c:pt>
                <c:pt idx="1">
                  <c:v>23418.616666666669</c:v>
                </c:pt>
                <c:pt idx="2">
                  <c:v>23273.083333333332</c:v>
                </c:pt>
                <c:pt idx="3">
                  <c:v>23364.5</c:v>
                </c:pt>
                <c:pt idx="4">
                  <c:v>23328.405000000002</c:v>
                </c:pt>
                <c:pt idx="5">
                  <c:v>16201.586666666664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2-463A-A25B-6484E2E1F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'Distance &amp; Velocity'!$A$33:$A$34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('Distance &amp; Velocity'!$F$43,'Distance &amp; Velocity'!$H$43,'Distance &amp; Velocity'!$J$43,'Distance &amp; Velocity'!$L$43,'Distance &amp; Velocity'!$N$43,'Distance &amp; Velocity'!$P$43)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('Distance &amp; Velocity'!$P$43,'Distance &amp; Velocity'!$N$43,'Distance &amp; Velocity'!$L$43,'Distance &amp; Velocity'!$J$43,'Distance &amp; Velocity'!$H$43,'Distance &amp; Velocity'!$F$43,'Distance &amp; Velocity'!$F$43)</c15:sqref>
                          </c15:formulaRef>
                        </c:ext>
                      </c:extLst>
                      <c:numCache>
                        <c:formatCode>General</c:formatCode>
                        <c:ptCount val="7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  <c:pt idx="6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('Distance &amp; Velocity'!$F$42,'Distance &amp; Velocity'!$H$42,'Distance &amp; Velocity'!$J$42,'Distance &amp; Velocity'!$L$42,'Distance &amp; Velocity'!$N$42,'Distance &amp; Velocity'!$P$42)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4C-4E48-89B4-1F57BE4578B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'Distance &amp; Velocity'!$A$45:$A$46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('Distance &amp; Velocity'!$F$55,'Distance &amp; Velocity'!$H$55,'Distance &amp; Velocity'!$J$55,'Distance &amp; Velocity'!$L$55,'Distance &amp; Velocity'!$N$55,'Distance &amp; Velocity'!$P$55)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('Distance &amp; Velocity'!$F$55,'Distance &amp; Velocity'!$H$55,'Distance &amp; Velocity'!$J$55,'Distance &amp; Velocity'!$L$55,'Distance &amp; Velocity'!$N$55,'Distance &amp; Velocity'!$P$55)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('Distance &amp; Velocity'!$F$54,'Distance &amp; Velocity'!$H$54,'Distance &amp; Velocity'!$J$54,'Distance &amp; Velocity'!$L$54,'Distance &amp; Velocity'!$N$54,'Distance &amp; Velocity'!$P$54)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87A-45D9-AEC0-AA6868238BDB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Time periods (min)</a:t>
                </a:r>
              </a:p>
            </c:rich>
          </c:tx>
          <c:layout>
            <c:manualLayout>
              <c:xMode val="edge"/>
              <c:yMode val="edge"/>
              <c:x val="0.31468122936245879"/>
              <c:y val="0.89676668658492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075590551181101"/>
          <c:y val="0.13658575059322031"/>
          <c:w val="0.80321937177207692"/>
          <c:h val="0.107569316803699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232928</xdr:colOff>
      <xdr:row>19</xdr:row>
      <xdr:rowOff>246784</xdr:rowOff>
    </xdr:from>
    <xdr:to>
      <xdr:col>22</xdr:col>
      <xdr:colOff>450167</xdr:colOff>
      <xdr:row>37</xdr:row>
      <xdr:rowOff>68684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234660</xdr:colOff>
      <xdr:row>38</xdr:row>
      <xdr:rowOff>36367</xdr:rowOff>
    </xdr:from>
    <xdr:to>
      <xdr:col>22</xdr:col>
      <xdr:colOff>451899</xdr:colOff>
      <xdr:row>55</xdr:row>
      <xdr:rowOff>118040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23</xdr:col>
      <xdr:colOff>47625</xdr:colOff>
      <xdr:row>16</xdr:row>
      <xdr:rowOff>0</xdr:rowOff>
    </xdr:from>
    <xdr:ext cx="4111625" cy="36068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6293D91-9900-45CD-AC37-8DCF7B0CFAB7}"/>
            </a:ext>
          </a:extLst>
        </xdr:cNvPr>
        <xdr:cNvSpPr txBox="1"/>
      </xdr:nvSpPr>
      <xdr:spPr>
        <a:xfrm>
          <a:off x="15821025" y="4908550"/>
          <a:ext cx="4111625" cy="3606800"/>
        </a:xfrm>
        <a:prstGeom prst="rect">
          <a:avLst/>
        </a:prstGeom>
        <a:solidFill>
          <a:srgbClr val="FFFFCD"/>
        </a:solidFill>
        <a:ln w="12700">
          <a:solidFill>
            <a:srgbClr val="00006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000" b="0">
              <a:solidFill>
                <a:srgbClr val="BC0000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Experimental</a:t>
          </a:r>
          <a:r>
            <a:rPr lang="en-US" sz="2000" b="0" baseline="0">
              <a:solidFill>
                <a:srgbClr val="BC0000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 Notes:</a:t>
          </a:r>
        </a:p>
        <a:p>
          <a:endParaRPr lang="en-US" sz="1200" b="0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Two groups of mice were tested, Control and Experiment, Males. </a:t>
          </a:r>
        </a:p>
        <a:p>
          <a:endParaRPr lang="en-US" sz="1400" b="1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All mice were purchased from JAX (000664) and transferred to the Core at 8-9 weeks of age. After 16 weeks of HFD feeding plus 3 weeks of stress induction, the Core performed behavioral tests.</a:t>
          </a:r>
        </a:p>
        <a:p>
          <a:endParaRPr lang="en-US" sz="1400" b="1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Group or individual mouse tracing maps are available upon request.  </a:t>
          </a:r>
        </a:p>
        <a:p>
          <a:endParaRPr lang="en-US" sz="11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400" b="1" baseline="0">
              <a:latin typeface="Arial" panose="020B0604020202020204" pitchFamily="34" charset="0"/>
              <a:cs typeface="Arial" panose="020B0604020202020204" pitchFamily="34" charset="0"/>
            </a:rPr>
            <a:t>Mice 405 &amp; 408 were dead before behavioral tests.</a:t>
          </a:r>
        </a:p>
        <a:p>
          <a:endParaRPr lang="en-US" sz="1100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0</xdr:col>
      <xdr:colOff>0</xdr:colOff>
      <xdr:row>0</xdr:row>
      <xdr:rowOff>1</xdr:rowOff>
    </xdr:from>
    <xdr:to>
      <xdr:col>23</xdr:col>
      <xdr:colOff>9525</xdr:colOff>
      <xdr:row>1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D40E2ED-D6A0-412C-AEA1-B22E8B552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"/>
          <a:ext cx="15782925" cy="2158999"/>
        </a:xfrm>
        <a:prstGeom prst="rect">
          <a:avLst/>
        </a:prstGeom>
      </xdr:spPr>
    </xdr:pic>
    <xdr:clientData/>
  </xdr:twoCellAnchor>
  <xdr:twoCellAnchor>
    <xdr:from>
      <xdr:col>5</xdr:col>
      <xdr:colOff>361950</xdr:colOff>
      <xdr:row>16</xdr:row>
      <xdr:rowOff>95250</xdr:rowOff>
    </xdr:from>
    <xdr:to>
      <xdr:col>14</xdr:col>
      <xdr:colOff>107950</xdr:colOff>
      <xdr:row>19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D18769-E361-F9F4-6CED-AD70219E3AC8}"/>
            </a:ext>
          </a:extLst>
        </xdr:cNvPr>
        <xdr:cNvSpPr txBox="1"/>
      </xdr:nvSpPr>
      <xdr:spPr>
        <a:xfrm>
          <a:off x="3790950" y="4997450"/>
          <a:ext cx="5918200" cy="444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Time and Frequency in Center Zone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219075</xdr:colOff>
      <xdr:row>4</xdr:row>
      <xdr:rowOff>0</xdr:rowOff>
    </xdr:from>
    <xdr:to>
      <xdr:col>22</xdr:col>
      <xdr:colOff>428625</xdr:colOff>
      <xdr:row>21</xdr:row>
      <xdr:rowOff>96393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228600</xdr:colOff>
      <xdr:row>22</xdr:row>
      <xdr:rowOff>114300</xdr:rowOff>
    </xdr:from>
    <xdr:to>
      <xdr:col>22</xdr:col>
      <xdr:colOff>438150</xdr:colOff>
      <xdr:row>40</xdr:row>
      <xdr:rowOff>29718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609600</xdr:colOff>
      <xdr:row>0</xdr:row>
      <xdr:rowOff>158750</xdr:rowOff>
    </xdr:from>
    <xdr:to>
      <xdr:col>15</xdr:col>
      <xdr:colOff>19050</xdr:colOff>
      <xdr:row>3</xdr:row>
      <xdr:rowOff>69850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24391-6A01-4706-9355-E4A5D2A08BF2}"/>
            </a:ext>
          </a:extLst>
        </xdr:cNvPr>
        <xdr:cNvSpPr txBox="1"/>
      </xdr:nvSpPr>
      <xdr:spPr>
        <a:xfrm>
          <a:off x="3352800" y="158750"/>
          <a:ext cx="6953250" cy="444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Time and Frequency in Intermediate</a:t>
          </a:r>
          <a:r>
            <a:rPr lang="en-US" sz="2400" baseline="0">
              <a:solidFill>
                <a:srgbClr val="0000CC"/>
              </a:solidFill>
              <a:latin typeface="Arial Rounded MT Bold" panose="020F0704030504030204" pitchFamily="34" charset="0"/>
            </a:rPr>
            <a:t> </a:t>
          </a:r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 Zone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219075</xdr:colOff>
      <xdr:row>4</xdr:row>
      <xdr:rowOff>0</xdr:rowOff>
    </xdr:from>
    <xdr:to>
      <xdr:col>22</xdr:col>
      <xdr:colOff>428625</xdr:colOff>
      <xdr:row>21</xdr:row>
      <xdr:rowOff>96393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228600</xdr:colOff>
      <xdr:row>22</xdr:row>
      <xdr:rowOff>66675</xdr:rowOff>
    </xdr:from>
    <xdr:to>
      <xdr:col>22</xdr:col>
      <xdr:colOff>438150</xdr:colOff>
      <xdr:row>39</xdr:row>
      <xdr:rowOff>163068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628650</xdr:colOff>
      <xdr:row>0</xdr:row>
      <xdr:rowOff>133350</xdr:rowOff>
    </xdr:from>
    <xdr:to>
      <xdr:col>15</xdr:col>
      <xdr:colOff>38100</xdr:colOff>
      <xdr:row>3</xdr:row>
      <xdr:rowOff>44450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D900EF-63D8-48BB-97F6-41E91170C689}"/>
            </a:ext>
          </a:extLst>
        </xdr:cNvPr>
        <xdr:cNvSpPr txBox="1"/>
      </xdr:nvSpPr>
      <xdr:spPr>
        <a:xfrm>
          <a:off x="3371850" y="133350"/>
          <a:ext cx="6953250" cy="444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Time and Frequency in Outer</a:t>
          </a:r>
          <a:r>
            <a:rPr lang="en-US" sz="2400" baseline="0">
              <a:solidFill>
                <a:srgbClr val="0000CC"/>
              </a:solidFill>
              <a:latin typeface="Arial Rounded MT Bold" panose="020F0704030504030204" pitchFamily="34" charset="0"/>
            </a:rPr>
            <a:t> </a:t>
          </a:r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 Zone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238125</xdr:colOff>
      <xdr:row>3</xdr:row>
      <xdr:rowOff>257174</xdr:rowOff>
    </xdr:from>
    <xdr:to>
      <xdr:col>22</xdr:col>
      <xdr:colOff>447675</xdr:colOff>
      <xdr:row>21</xdr:row>
      <xdr:rowOff>95249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247650</xdr:colOff>
      <xdr:row>22</xdr:row>
      <xdr:rowOff>85725</xdr:rowOff>
    </xdr:from>
    <xdr:to>
      <xdr:col>22</xdr:col>
      <xdr:colOff>457200</xdr:colOff>
      <xdr:row>40</xdr:row>
      <xdr:rowOff>1143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603250</xdr:colOff>
      <xdr:row>0</xdr:row>
      <xdr:rowOff>107950</xdr:rowOff>
    </xdr:from>
    <xdr:to>
      <xdr:col>15</xdr:col>
      <xdr:colOff>12700</xdr:colOff>
      <xdr:row>3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59FCA43-3E2C-4E5D-B5FB-035F07DB789B}"/>
            </a:ext>
          </a:extLst>
        </xdr:cNvPr>
        <xdr:cNvSpPr txBox="1"/>
      </xdr:nvSpPr>
      <xdr:spPr>
        <a:xfrm>
          <a:off x="3346450" y="107950"/>
          <a:ext cx="6953250" cy="444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Time in</a:t>
          </a:r>
          <a:r>
            <a:rPr lang="en-US" sz="2400" baseline="0">
              <a:solidFill>
                <a:srgbClr val="0000CC"/>
              </a:solidFill>
              <a:latin typeface="Arial Rounded MT Bold" panose="020F0704030504030204" pitchFamily="34" charset="0"/>
            </a:rPr>
            <a:t> Moving vs. Not Moving</a:t>
          </a:r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234950</xdr:colOff>
      <xdr:row>4</xdr:row>
      <xdr:rowOff>4762</xdr:rowOff>
    </xdr:from>
    <xdr:to>
      <xdr:col>22</xdr:col>
      <xdr:colOff>444500</xdr:colOff>
      <xdr:row>21</xdr:row>
      <xdr:rowOff>101155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255587</xdr:colOff>
      <xdr:row>24</xdr:row>
      <xdr:rowOff>26987</xdr:rowOff>
    </xdr:from>
    <xdr:to>
      <xdr:col>22</xdr:col>
      <xdr:colOff>465137</xdr:colOff>
      <xdr:row>41</xdr:row>
      <xdr:rowOff>123380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609600</xdr:colOff>
      <xdr:row>0</xdr:row>
      <xdr:rowOff>107950</xdr:rowOff>
    </xdr:from>
    <xdr:to>
      <xdr:col>15</xdr:col>
      <xdr:colOff>19050</xdr:colOff>
      <xdr:row>3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E80528-DD13-4CA3-997C-A0AEE12A53B2}"/>
            </a:ext>
          </a:extLst>
        </xdr:cNvPr>
        <xdr:cNvSpPr txBox="1"/>
      </xdr:nvSpPr>
      <xdr:spPr>
        <a:xfrm>
          <a:off x="3352800" y="107950"/>
          <a:ext cx="6953250" cy="444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Moving Distance and Velocity</a:t>
          </a:r>
          <a:r>
            <a:rPr lang="en-US" sz="2400" baseline="0">
              <a:solidFill>
                <a:srgbClr val="0000CC"/>
              </a:solidFill>
              <a:latin typeface="Arial Rounded MT Bold" panose="020F0704030504030204" pitchFamily="34" charset="0"/>
            </a:rPr>
            <a:t> </a:t>
          </a:r>
          <a:endParaRPr lang="en-US" sz="2400">
            <a:solidFill>
              <a:srgbClr val="0000CC"/>
            </a:solidFill>
            <a:latin typeface="Arial Rounded MT Bold" panose="020F070403050403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0</xdr:row>
      <xdr:rowOff>9524</xdr:rowOff>
    </xdr:from>
    <xdr:to>
      <xdr:col>22</xdr:col>
      <xdr:colOff>677036</xdr:colOff>
      <xdr:row>35</xdr:row>
      <xdr:rowOff>57150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/>
      </xdr:nvSpPr>
      <xdr:spPr>
        <a:xfrm>
          <a:off x="9524" y="2019299"/>
          <a:ext cx="15755112" cy="6524626"/>
        </a:xfrm>
        <a:prstGeom prst="rect">
          <a:avLst/>
        </a:prstGeom>
        <a:solidFill>
          <a:schemeClr val="lt1"/>
        </a:solidFill>
        <a:ln w="19050" cmpd="sng">
          <a:solidFill>
            <a:srgbClr val="0000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000099"/>
              </a:solidFill>
              <a:latin typeface="+mn-lt"/>
            </a:rPr>
            <a:t>					</a:t>
          </a:r>
        </a:p>
        <a:p>
          <a:r>
            <a:rPr lang="en-US" sz="2400">
              <a:solidFill>
                <a:srgbClr val="000099"/>
              </a:solidFill>
              <a:latin typeface="Arial Rounded MT Bold" panose="020F0704030504030204" pitchFamily="34" charset="0"/>
            </a:rPr>
            <a:t>					I. Experimental Procedures</a:t>
          </a:r>
          <a:r>
            <a:rPr lang="en-US" sz="2400" b="0" i="0" u="none" strike="noStrike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 </a:t>
          </a:r>
        </a:p>
        <a:p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800" b="0" i="0" u="none" strike="noStrike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1.   Background</a:t>
          </a:r>
        </a:p>
        <a:p>
          <a:r>
            <a:rPr lang="en-US" sz="14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 open field test (OFT) is commonly used for measuring exploratory behavior, general locomotor activity, and anxiety-related emotional behaviors. As rodents often show distinct aversions to large, brightly lit, open and unknown environments,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i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ncreased, anxiety-like behavior in a mouse when exposed to such envionments is displayed by more time spent in the outer zone(s), fewer enteries into the center zone, and overall less exploratory tendencies. </a:t>
          </a:r>
        </a:p>
        <a:p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800" b="0" i="0" u="none" strike="noStrike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2.  Experimental</a:t>
          </a:r>
          <a:r>
            <a:rPr lang="en-US" sz="1800" b="0" i="0" u="none" strike="noStrike" baseline="0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 </a:t>
          </a:r>
          <a:r>
            <a:rPr lang="en-US" sz="1800" b="0" i="0" u="none" strike="noStrike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Setup</a:t>
          </a: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</a:t>
          </a:r>
          <a:r>
            <a:rPr lang="en-US" sz="14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EthoVision XT by Noldus was used to record, track, and analyze all videos. Three</a:t>
          </a:r>
          <a:r>
            <a:rPr lang="en-US" sz="14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zones, i.e., o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uter, intermediate, and center zones, were outlined using the software. The OFT chamber was a squared</a:t>
          </a:r>
          <a:r>
            <a:rPr lang="en-US" sz="14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chamber, 43x43x30 (cm3),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made of dark grey plastic.</a:t>
          </a:r>
          <a:r>
            <a:rPr lang="en-US" sz="14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Room temperature, humidity, lighting, and background noise were kept consistent thoughout the experiment. </a:t>
          </a:r>
          <a:endParaRPr lang="en-US" sz="14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800" b="0" i="0" u="none" strike="noStrike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3.  Procedures</a:t>
          </a:r>
        </a:p>
        <a:p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Mice were brought to the test room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in their home cage at least an hour before the test. Tests were begun by placing each mouse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the center of the open field chamber. Video recording began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three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seconds after the mouse was detected in the arena and continued for 30 minutes. Four mice (in four separated chambers)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were run at a time. When the test was finished, mice were removed and returned to their home cage. The open field chambers were wiped down after each trial with 70%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ethanol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and cleaned with water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to eliminate odor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</a:t>
          </a:r>
        </a:p>
        <a:p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800" b="0" i="0" u="none" strike="noStrike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4.</a:t>
          </a:r>
          <a:r>
            <a:rPr lang="en-US" sz="1800" b="0" i="0" u="none" strike="noStrike" baseline="0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  Data analysis</a:t>
          </a:r>
        </a:p>
        <a:p>
          <a:r>
            <a:rPr lang="en-US" sz="14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Total distance, average velocity, time spent in each zone, movement, and rearing were calculated. </a:t>
          </a:r>
        </a:p>
        <a:p>
          <a:endParaRPr lang="en-US" sz="1400" b="0" i="0" u="none" strike="noStrike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2400" b="0" i="0" u="none" strike="noStrike" baseline="0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						II.   References</a:t>
          </a:r>
          <a:r>
            <a:rPr lang="en-US" sz="2400">
              <a:solidFill>
                <a:srgbClr val="000099"/>
              </a:solidFill>
              <a:latin typeface="Arial Rounded MT Bold" panose="020F0704030504030204" pitchFamily="34" charset="0"/>
            </a:rPr>
            <a:t> </a:t>
          </a:r>
        </a:p>
        <a:p>
          <a:endParaRPr lang="en-US" sz="14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400" b="0">
              <a:latin typeface="Arial Rounded MT Bold" panose="020F0704030504030204" pitchFamily="34" charset="0"/>
              <a:cs typeface="Arial" panose="020B0604020202020204" pitchFamily="34" charset="0"/>
            </a:rPr>
            <a:t>1.  Seibenhener ML, Wooten MC. Use of the Open Field Maze to Measure Locomotor and Anxiety-like Behavior in Mice. Journal of Visualized Experiments : JoVE. 2015;(96):52434. </a:t>
          </a:r>
        </a:p>
        <a:p>
          <a:endParaRPr lang="en-US" sz="1000" b="0">
            <a:latin typeface="Arial Rounded MT Bold" panose="020F0704030504030204" pitchFamily="34" charset="0"/>
            <a:cs typeface="Arial" panose="020B0604020202020204" pitchFamily="34" charset="0"/>
          </a:endParaRPr>
        </a:p>
        <a:p>
          <a:r>
            <a:rPr lang="en-US" sz="1400" b="0">
              <a:latin typeface="Arial Rounded MT Bold" panose="020F0704030504030204" pitchFamily="34" charset="0"/>
              <a:cs typeface="Arial" panose="020B0604020202020204" pitchFamily="34" charset="0"/>
            </a:rPr>
            <a:t>2.</a:t>
          </a:r>
          <a:r>
            <a:rPr lang="en-US" sz="1400" b="0" baseline="0">
              <a:latin typeface="Arial Rounded MT Bold" panose="020F0704030504030204" pitchFamily="34" charset="0"/>
              <a:cs typeface="Arial" panose="020B0604020202020204" pitchFamily="34" charset="0"/>
            </a:rPr>
            <a:t>  </a:t>
          </a:r>
          <a:r>
            <a:rPr lang="en-US" sz="1400" b="0">
              <a:latin typeface="Arial Rounded MT Bold" panose="020F0704030504030204" pitchFamily="34" charset="0"/>
              <a:cs typeface="Arial" panose="020B0604020202020204" pitchFamily="34" charset="0"/>
            </a:rPr>
            <a:t>Todd D. Gould, David T. Dao, and Colleen E. Kovacsics. Chapter 1: The Open Field Test. Mood and Anxiety Related Phenotypes in Mice, characterization</a:t>
          </a:r>
          <a:r>
            <a:rPr lang="en-US" sz="1400" b="0" baseline="0">
              <a:latin typeface="Arial Rounded MT Bold" panose="020F0704030504030204" pitchFamily="34" charset="0"/>
              <a:cs typeface="Arial" panose="020B0604020202020204" pitchFamily="34" charset="0"/>
            </a:rPr>
            <a:t> using behavioral tests, </a:t>
          </a:r>
        </a:p>
        <a:p>
          <a:r>
            <a:rPr lang="en-US" sz="1400" b="0" baseline="0">
              <a:latin typeface="Arial Rounded MT Bold" panose="020F0704030504030204" pitchFamily="34" charset="0"/>
              <a:cs typeface="Arial" panose="020B0604020202020204" pitchFamily="34" charset="0"/>
            </a:rPr>
            <a:t>      </a:t>
          </a:r>
          <a:r>
            <a:rPr lang="en-US" sz="1400" b="0">
              <a:latin typeface="Arial Rounded MT Bold" panose="020F0704030504030204" pitchFamily="34" charset="0"/>
              <a:cs typeface="Arial" panose="020B0604020202020204" pitchFamily="34" charset="0"/>
            </a:rPr>
            <a:t>Neuromethods Book Series</a:t>
          </a:r>
          <a:r>
            <a:rPr lang="en-US" sz="1400" b="0" baseline="0">
              <a:latin typeface="Arial Rounded MT Bold" panose="020F0704030504030204" pitchFamily="34" charset="0"/>
              <a:cs typeface="Arial" panose="020B0604020202020204" pitchFamily="34" charset="0"/>
            </a:rPr>
            <a:t> </a:t>
          </a:r>
          <a:r>
            <a:rPr lang="en-US" sz="1400" b="0">
              <a:latin typeface="Arial Rounded MT Bold" panose="020F0704030504030204" pitchFamily="34" charset="0"/>
              <a:cs typeface="Arial" panose="020B0604020202020204" pitchFamily="34" charset="0"/>
            </a:rPr>
            <a:t>(Vol 42), 2009.     </a:t>
          </a:r>
        </a:p>
        <a:p>
          <a:endParaRPr lang="en-US" sz="1400" b="1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8"/>
  <sheetViews>
    <sheetView tabSelected="1" zoomScale="120" zoomScaleNormal="120" workbookViewId="0">
      <selection activeCell="O38" sqref="O38"/>
    </sheetView>
  </sheetViews>
  <sheetFormatPr baseColWidth="10" defaultColWidth="9" defaultRowHeight="14.25" customHeight="1" x14ac:dyDescent="0.15"/>
  <cols>
    <col min="1" max="16384" width="9" style="2"/>
  </cols>
  <sheetData>
    <row r="1" spans="1:23" ht="170" customHeight="1" x14ac:dyDescent="0.15">
      <c r="A1" s="67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9"/>
      <c r="V1" s="70"/>
      <c r="W1" s="71"/>
    </row>
    <row r="2" spans="1:23" ht="20" customHeight="1" x14ac:dyDescent="0.2">
      <c r="A2" s="210" t="s">
        <v>0</v>
      </c>
      <c r="B2" s="211"/>
      <c r="C2" s="211"/>
      <c r="D2" s="211"/>
      <c r="E2" s="211"/>
      <c r="F2" s="211"/>
      <c r="G2" s="212"/>
      <c r="H2" s="210" t="s">
        <v>1</v>
      </c>
      <c r="I2" s="211"/>
      <c r="J2" s="211"/>
      <c r="K2" s="211"/>
      <c r="L2" s="211"/>
      <c r="M2" s="211"/>
      <c r="N2" s="212"/>
      <c r="O2" s="210" t="s">
        <v>2</v>
      </c>
      <c r="P2" s="211"/>
      <c r="Q2" s="211"/>
      <c r="R2" s="211"/>
      <c r="S2" s="211"/>
      <c r="T2" s="211"/>
      <c r="U2" s="211"/>
      <c r="V2" s="211"/>
      <c r="W2" s="212"/>
    </row>
    <row r="3" spans="1:23" ht="14.25" customHeight="1" x14ac:dyDescent="0.15">
      <c r="A3" s="63" t="s">
        <v>3</v>
      </c>
      <c r="B3" s="64"/>
      <c r="C3" s="64"/>
      <c r="D3" s="65" t="s">
        <v>4</v>
      </c>
      <c r="E3" s="64"/>
      <c r="F3" s="64"/>
      <c r="G3" s="66"/>
      <c r="H3" s="3" t="s">
        <v>11</v>
      </c>
      <c r="I3" s="4"/>
      <c r="J3" s="4"/>
      <c r="K3" s="4" t="s">
        <v>12</v>
      </c>
      <c r="L3" s="4"/>
      <c r="M3" s="4"/>
      <c r="N3" s="6"/>
      <c r="O3" s="3" t="s">
        <v>25</v>
      </c>
      <c r="P3" s="4"/>
      <c r="Q3" s="4"/>
      <c r="R3" s="4"/>
      <c r="S3" s="4"/>
      <c r="T3" s="4"/>
      <c r="U3" s="4"/>
      <c r="V3" s="4"/>
      <c r="W3" s="6"/>
    </row>
    <row r="4" spans="1:23" ht="14.25" customHeight="1" x14ac:dyDescent="0.15">
      <c r="A4" s="3" t="s">
        <v>5</v>
      </c>
      <c r="B4" s="4"/>
      <c r="C4" s="4"/>
      <c r="D4" s="7">
        <v>0.5</v>
      </c>
      <c r="E4" s="4"/>
      <c r="F4" s="4"/>
      <c r="G4" s="6"/>
      <c r="H4" s="3" t="s">
        <v>13</v>
      </c>
      <c r="I4" s="4"/>
      <c r="J4" s="4"/>
      <c r="K4" s="4" t="s">
        <v>14</v>
      </c>
      <c r="L4" s="4"/>
      <c r="M4" s="4"/>
      <c r="N4" s="6"/>
      <c r="O4" s="3" t="s">
        <v>31</v>
      </c>
      <c r="P4" s="4"/>
      <c r="Q4" s="4"/>
      <c r="R4" s="4"/>
      <c r="S4" s="4"/>
      <c r="T4" s="4"/>
      <c r="U4" s="4"/>
      <c r="V4" s="4"/>
      <c r="W4" s="6"/>
    </row>
    <row r="5" spans="1:23" ht="14.25" customHeight="1" x14ac:dyDescent="0.15">
      <c r="A5" s="3" t="s">
        <v>6</v>
      </c>
      <c r="B5" s="4"/>
      <c r="C5" s="4"/>
      <c r="D5" s="5" t="s">
        <v>61</v>
      </c>
      <c r="E5" s="4"/>
      <c r="F5" s="4"/>
      <c r="G5" s="6"/>
      <c r="H5" s="3" t="s">
        <v>15</v>
      </c>
      <c r="I5" s="4"/>
      <c r="J5" s="4"/>
      <c r="K5" s="4" t="s">
        <v>16</v>
      </c>
      <c r="L5" s="4"/>
      <c r="M5" s="4"/>
      <c r="N5" s="6"/>
      <c r="O5" s="3"/>
      <c r="P5" s="4"/>
      <c r="Q5" s="4"/>
      <c r="R5" s="4"/>
      <c r="S5" s="4"/>
      <c r="T5" s="4"/>
      <c r="U5" s="4"/>
      <c r="V5" s="4"/>
      <c r="W5" s="6"/>
    </row>
    <row r="6" spans="1:23" ht="14.25" customHeight="1" x14ac:dyDescent="0.15">
      <c r="A6" s="3" t="s">
        <v>7</v>
      </c>
      <c r="B6" s="4"/>
      <c r="C6" s="4"/>
      <c r="D6" s="177" t="s">
        <v>73</v>
      </c>
      <c r="E6" s="4"/>
      <c r="F6" s="4"/>
      <c r="G6" s="6"/>
      <c r="H6" s="3"/>
      <c r="I6" s="4"/>
      <c r="J6" s="4"/>
      <c r="K6" s="4" t="s">
        <v>17</v>
      </c>
      <c r="L6" s="4"/>
      <c r="M6" s="4"/>
      <c r="N6" s="6"/>
      <c r="O6" s="3" t="s">
        <v>26</v>
      </c>
      <c r="P6" s="4"/>
      <c r="Q6" s="4"/>
      <c r="R6" s="4"/>
      <c r="S6" s="4"/>
      <c r="T6" s="4"/>
      <c r="U6" s="4"/>
      <c r="V6" s="4"/>
      <c r="W6" s="6"/>
    </row>
    <row r="7" spans="1:23" ht="14.25" customHeight="1" x14ac:dyDescent="0.15">
      <c r="A7" s="3" t="s">
        <v>8</v>
      </c>
      <c r="B7" s="4"/>
      <c r="C7" s="4"/>
      <c r="D7" s="5" t="s">
        <v>74</v>
      </c>
      <c r="E7" s="4"/>
      <c r="F7" s="4"/>
      <c r="G7" s="6"/>
      <c r="H7" s="3" t="s">
        <v>18</v>
      </c>
      <c r="I7" s="4"/>
      <c r="J7" s="4"/>
      <c r="K7" s="4" t="s">
        <v>19</v>
      </c>
      <c r="L7" s="4"/>
      <c r="M7" s="4"/>
      <c r="N7" s="6"/>
      <c r="O7" s="3" t="s">
        <v>62</v>
      </c>
      <c r="P7" s="4"/>
      <c r="Q7" s="4"/>
      <c r="R7" s="4"/>
      <c r="S7" s="4"/>
      <c r="T7" s="4"/>
      <c r="U7" s="4"/>
      <c r="V7" s="4"/>
      <c r="W7" s="6"/>
    </row>
    <row r="8" spans="1:23" ht="14.25" customHeight="1" x14ac:dyDescent="0.15">
      <c r="A8" s="3" t="s">
        <v>9</v>
      </c>
      <c r="B8" s="4"/>
      <c r="C8" s="4"/>
      <c r="D8" s="178" t="s">
        <v>76</v>
      </c>
      <c r="E8" s="4"/>
      <c r="F8" s="4"/>
      <c r="G8" s="6"/>
      <c r="H8" s="3" t="s">
        <v>20</v>
      </c>
      <c r="I8" s="4"/>
      <c r="J8" s="4"/>
      <c r="K8" s="4" t="s">
        <v>63</v>
      </c>
      <c r="L8" s="4"/>
      <c r="M8" s="4"/>
      <c r="N8" s="6"/>
      <c r="O8" s="3"/>
      <c r="P8" s="4"/>
      <c r="Q8" s="4"/>
      <c r="R8" s="4"/>
      <c r="S8" s="4"/>
      <c r="T8" s="4"/>
      <c r="U8" s="4"/>
      <c r="V8" s="4"/>
      <c r="W8" s="6"/>
    </row>
    <row r="9" spans="1:23" ht="14.25" customHeight="1" x14ac:dyDescent="0.15">
      <c r="A9" s="3"/>
      <c r="B9" s="4"/>
      <c r="C9" s="4"/>
      <c r="D9" s="178" t="s">
        <v>75</v>
      </c>
      <c r="E9" s="4"/>
      <c r="F9" s="4"/>
      <c r="G9" s="6"/>
      <c r="H9" s="3"/>
      <c r="I9" s="4"/>
      <c r="J9" s="4"/>
      <c r="K9" s="4" t="s">
        <v>21</v>
      </c>
      <c r="L9" s="4"/>
      <c r="M9" s="4"/>
      <c r="N9" s="6"/>
      <c r="O9" s="3" t="s">
        <v>27</v>
      </c>
      <c r="P9" s="4"/>
      <c r="Q9" s="4"/>
      <c r="R9" s="4"/>
      <c r="S9" s="4"/>
      <c r="T9" s="4"/>
      <c r="U9" s="4"/>
      <c r="V9" s="4"/>
      <c r="W9" s="6"/>
    </row>
    <row r="10" spans="1:23" ht="14.25" customHeight="1" x14ac:dyDescent="0.15">
      <c r="A10" s="180" t="s">
        <v>78</v>
      </c>
      <c r="B10" s="4"/>
      <c r="C10" s="4"/>
      <c r="D10" s="179" t="s">
        <v>77</v>
      </c>
      <c r="E10" s="178"/>
      <c r="F10" s="204" t="s">
        <v>89</v>
      </c>
      <c r="G10" s="6"/>
      <c r="H10" s="3" t="s">
        <v>22</v>
      </c>
      <c r="I10" s="4"/>
      <c r="J10" s="4"/>
      <c r="K10" s="4" t="s">
        <v>23</v>
      </c>
      <c r="L10" s="4"/>
      <c r="M10" s="4"/>
      <c r="N10" s="6"/>
      <c r="O10" s="3" t="s">
        <v>28</v>
      </c>
      <c r="P10" s="4"/>
      <c r="Q10" s="4"/>
      <c r="R10" s="4"/>
      <c r="S10" s="4"/>
      <c r="T10" s="4"/>
      <c r="U10" s="4"/>
      <c r="V10" s="4"/>
      <c r="W10" s="6"/>
    </row>
    <row r="11" spans="1:23" ht="14.25" customHeight="1" x14ac:dyDescent="0.15">
      <c r="A11" s="180" t="s">
        <v>79</v>
      </c>
      <c r="B11" s="4"/>
      <c r="C11" s="4"/>
      <c r="D11" s="179" t="s">
        <v>90</v>
      </c>
      <c r="E11" s="4"/>
      <c r="F11" s="204" t="s">
        <v>88</v>
      </c>
      <c r="G11" s="6"/>
      <c r="H11" s="3"/>
      <c r="I11" s="4"/>
      <c r="J11" s="4"/>
      <c r="K11" s="4" t="s">
        <v>24</v>
      </c>
      <c r="L11" s="4"/>
      <c r="M11" s="4"/>
      <c r="N11" s="6"/>
      <c r="O11" s="50" t="s">
        <v>72</v>
      </c>
      <c r="P11" s="4"/>
      <c r="Q11" s="4"/>
      <c r="R11" s="4"/>
      <c r="S11" s="4"/>
      <c r="T11" s="4"/>
      <c r="U11" s="4"/>
      <c r="V11" s="4"/>
      <c r="W11" s="6"/>
    </row>
    <row r="12" spans="1:23" ht="14.25" customHeight="1" x14ac:dyDescent="0.15">
      <c r="A12" s="3" t="s">
        <v>80</v>
      </c>
      <c r="B12" s="4"/>
      <c r="C12" s="4"/>
      <c r="D12" s="178" t="s">
        <v>68</v>
      </c>
      <c r="E12" s="178"/>
      <c r="F12" s="178"/>
      <c r="G12" s="6"/>
      <c r="H12" s="3"/>
      <c r="I12" s="4"/>
      <c r="J12" s="4"/>
      <c r="K12" s="4"/>
      <c r="L12" s="4"/>
      <c r="M12" s="4"/>
      <c r="N12" s="6"/>
      <c r="O12" s="3"/>
      <c r="P12" s="4"/>
      <c r="Q12" s="4"/>
      <c r="R12" s="4"/>
      <c r="S12" s="4"/>
      <c r="T12" s="4"/>
      <c r="U12" s="4"/>
      <c r="V12" s="4"/>
      <c r="W12" s="6"/>
    </row>
    <row r="13" spans="1:23" ht="14.25" customHeight="1" x14ac:dyDescent="0.15">
      <c r="A13" s="3" t="s">
        <v>86</v>
      </c>
      <c r="B13" s="4"/>
      <c r="C13" s="4"/>
      <c r="D13" s="4" t="s">
        <v>69</v>
      </c>
      <c r="E13" s="4"/>
      <c r="F13" s="4"/>
      <c r="G13" s="6"/>
      <c r="H13" s="3"/>
      <c r="I13" s="4"/>
      <c r="J13" s="4"/>
      <c r="K13" s="4"/>
      <c r="L13" s="4"/>
      <c r="M13" s="4"/>
      <c r="N13" s="6"/>
      <c r="O13" s="3" t="s">
        <v>29</v>
      </c>
      <c r="P13" s="4"/>
      <c r="Q13" s="4"/>
      <c r="R13" s="4"/>
      <c r="S13" s="4"/>
      <c r="T13" s="4"/>
      <c r="U13" s="4"/>
      <c r="V13" s="4"/>
      <c r="W13" s="6"/>
    </row>
    <row r="14" spans="1:23" ht="14.25" customHeight="1" x14ac:dyDescent="0.15">
      <c r="A14" s="3" t="s">
        <v>81</v>
      </c>
      <c r="B14" s="4"/>
      <c r="C14" s="4"/>
      <c r="D14" s="4" t="s">
        <v>10</v>
      </c>
      <c r="E14" s="4"/>
      <c r="F14" s="4"/>
      <c r="G14" s="6"/>
      <c r="H14" s="3"/>
      <c r="I14" s="4"/>
      <c r="J14" s="4"/>
      <c r="K14" s="4"/>
      <c r="L14" s="4"/>
      <c r="M14" s="4"/>
      <c r="N14" s="6"/>
      <c r="O14" s="3" t="s">
        <v>30</v>
      </c>
      <c r="P14" s="4"/>
      <c r="Q14" s="4"/>
      <c r="R14" s="4"/>
      <c r="S14" s="4"/>
      <c r="T14" s="4"/>
      <c r="U14" s="4"/>
      <c r="V14" s="4"/>
      <c r="W14" s="6"/>
    </row>
    <row r="15" spans="1:23" ht="14.25" customHeight="1" x14ac:dyDescent="0.15">
      <c r="A15" s="8" t="s">
        <v>82</v>
      </c>
      <c r="B15" s="9"/>
      <c r="C15" s="9"/>
      <c r="D15" s="9" t="s">
        <v>70</v>
      </c>
      <c r="E15" s="9"/>
      <c r="F15" s="9"/>
      <c r="G15" s="10"/>
      <c r="H15" s="8"/>
      <c r="I15" s="9"/>
      <c r="J15" s="9"/>
      <c r="K15" s="9"/>
      <c r="L15" s="9"/>
      <c r="M15" s="9"/>
      <c r="N15" s="10"/>
      <c r="O15" s="8"/>
      <c r="P15" s="9"/>
      <c r="Q15" s="9"/>
      <c r="R15" s="9"/>
      <c r="S15" s="9"/>
      <c r="T15" s="9"/>
      <c r="U15" s="9"/>
      <c r="V15" s="9"/>
      <c r="W15" s="10"/>
    </row>
    <row r="17" spans="1:23" ht="14.25" customHeight="1" x14ac:dyDescent="0.1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3"/>
    </row>
    <row r="18" spans="1:23" ht="14.25" customHeight="1" x14ac:dyDescent="0.15">
      <c r="A18" s="72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9"/>
    </row>
    <row r="19" spans="1:23" ht="14" x14ac:dyDescent="0.15">
      <c r="A19" s="215" t="s">
        <v>87</v>
      </c>
      <c r="B19" s="215"/>
      <c r="C19" s="215"/>
      <c r="D19" s="215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9"/>
    </row>
    <row r="20" spans="1:23" ht="14.25" customHeight="1" x14ac:dyDescent="0.15">
      <c r="A20" s="216"/>
      <c r="B20" s="216"/>
      <c r="C20" s="216"/>
      <c r="D20" s="216"/>
      <c r="E20" s="17"/>
      <c r="F20" s="17"/>
      <c r="G20" s="18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9"/>
    </row>
    <row r="21" spans="1:23" ht="14.25" customHeight="1" x14ac:dyDescent="0.15">
      <c r="A21" s="20"/>
      <c r="B21" s="21"/>
      <c r="C21" s="21"/>
      <c r="D21" s="22"/>
      <c r="E21" s="213" t="s">
        <v>32</v>
      </c>
      <c r="F21" s="214"/>
      <c r="G21" s="213" t="s">
        <v>33</v>
      </c>
      <c r="H21" s="214"/>
      <c r="I21" s="213" t="s">
        <v>34</v>
      </c>
      <c r="J21" s="214"/>
      <c r="K21" s="213" t="s">
        <v>35</v>
      </c>
      <c r="L21" s="214"/>
      <c r="M21" s="213" t="s">
        <v>36</v>
      </c>
      <c r="N21" s="214"/>
      <c r="O21" s="213" t="s">
        <v>37</v>
      </c>
      <c r="P21" s="214"/>
      <c r="Q21" s="213" t="s">
        <v>38</v>
      </c>
      <c r="R21" s="214"/>
      <c r="S21" s="17"/>
      <c r="T21" s="17"/>
      <c r="U21" s="17"/>
      <c r="V21" s="17"/>
      <c r="W21" s="19"/>
    </row>
    <row r="22" spans="1:23" ht="14.25" customHeight="1" x14ac:dyDescent="0.15">
      <c r="A22" s="23"/>
      <c r="B22" s="24"/>
      <c r="C22" s="24"/>
      <c r="D22" s="25"/>
      <c r="E22" s="26" t="s">
        <v>39</v>
      </c>
      <c r="F22" s="46" t="s">
        <v>40</v>
      </c>
      <c r="G22" s="26" t="s">
        <v>39</v>
      </c>
      <c r="H22" s="47" t="s">
        <v>40</v>
      </c>
      <c r="I22" s="48" t="s">
        <v>39</v>
      </c>
      <c r="J22" s="46" t="s">
        <v>40</v>
      </c>
      <c r="K22" s="26" t="s">
        <v>39</v>
      </c>
      <c r="L22" s="47" t="s">
        <v>40</v>
      </c>
      <c r="M22" s="26" t="s">
        <v>39</v>
      </c>
      <c r="N22" s="47" t="s">
        <v>40</v>
      </c>
      <c r="O22" s="26" t="s">
        <v>39</v>
      </c>
      <c r="P22" s="47" t="s">
        <v>40</v>
      </c>
      <c r="Q22" s="26" t="s">
        <v>39</v>
      </c>
      <c r="R22" s="47" t="s">
        <v>40</v>
      </c>
      <c r="S22" s="17"/>
      <c r="T22" s="17"/>
      <c r="U22" s="17"/>
      <c r="V22" s="17"/>
      <c r="W22" s="19"/>
    </row>
    <row r="23" spans="1:23" ht="14.25" customHeight="1" x14ac:dyDescent="0.15">
      <c r="A23" s="29"/>
      <c r="B23" s="30" t="s">
        <v>41</v>
      </c>
      <c r="C23" s="30" t="s">
        <v>42</v>
      </c>
      <c r="D23" s="31" t="s">
        <v>43</v>
      </c>
      <c r="E23" s="32" t="s">
        <v>44</v>
      </c>
      <c r="F23" s="33" t="s">
        <v>45</v>
      </c>
      <c r="G23" s="32" t="s">
        <v>44</v>
      </c>
      <c r="H23" s="32" t="s">
        <v>45</v>
      </c>
      <c r="I23" s="49" t="s">
        <v>44</v>
      </c>
      <c r="J23" s="33" t="s">
        <v>45</v>
      </c>
      <c r="K23" s="32" t="s">
        <v>44</v>
      </c>
      <c r="L23" s="32" t="s">
        <v>45</v>
      </c>
      <c r="M23" s="32" t="s">
        <v>44</v>
      </c>
      <c r="N23" s="32" t="s">
        <v>45</v>
      </c>
      <c r="O23" s="32" t="s">
        <v>44</v>
      </c>
      <c r="P23" s="32" t="s">
        <v>45</v>
      </c>
      <c r="Q23" s="32" t="s">
        <v>44</v>
      </c>
      <c r="R23" s="32" t="s">
        <v>45</v>
      </c>
      <c r="S23" s="17"/>
      <c r="T23" s="17"/>
      <c r="U23" s="17"/>
      <c r="V23" s="17"/>
      <c r="W23" s="19"/>
    </row>
    <row r="24" spans="1:23" ht="14.25" customHeight="1" x14ac:dyDescent="0.15">
      <c r="A24" s="34" t="s">
        <v>46</v>
      </c>
      <c r="B24" s="73">
        <v>1</v>
      </c>
      <c r="C24" s="74" t="s">
        <v>85</v>
      </c>
      <c r="D24" s="181">
        <v>401</v>
      </c>
      <c r="E24" s="75">
        <v>1.9221999999999999</v>
      </c>
      <c r="F24" s="76">
        <v>7</v>
      </c>
      <c r="G24" s="75">
        <v>1.66665</v>
      </c>
      <c r="H24" s="76">
        <v>7</v>
      </c>
      <c r="I24" s="77">
        <v>4.6332899999999997</v>
      </c>
      <c r="J24" s="78">
        <v>5</v>
      </c>
      <c r="K24" s="75">
        <v>14.3665</v>
      </c>
      <c r="L24" s="76">
        <v>5</v>
      </c>
      <c r="M24" s="77">
        <v>3.3999700000000002</v>
      </c>
      <c r="N24" s="78">
        <v>7</v>
      </c>
      <c r="O24" s="75">
        <v>6.6332700000000004</v>
      </c>
      <c r="P24" s="78">
        <v>11</v>
      </c>
      <c r="Q24" s="75">
        <f>AVERAGE(E24,G24,I24,K24,M24,O24)</f>
        <v>5.4369799999999993</v>
      </c>
      <c r="R24" s="76">
        <f>SUM(F24,H24,J24,L24,N24,P24)</f>
        <v>42</v>
      </c>
      <c r="S24" s="17"/>
      <c r="T24" s="17"/>
      <c r="U24" s="17"/>
      <c r="V24" s="17"/>
      <c r="W24" s="19"/>
    </row>
    <row r="25" spans="1:23" ht="14.25" customHeight="1" x14ac:dyDescent="0.15">
      <c r="A25" s="206" t="s">
        <v>84</v>
      </c>
      <c r="B25" s="79">
        <v>2</v>
      </c>
      <c r="C25" s="74" t="s">
        <v>85</v>
      </c>
      <c r="D25" s="181">
        <v>402</v>
      </c>
      <c r="E25" s="80">
        <v>5.6110499999999996</v>
      </c>
      <c r="F25" s="81">
        <v>9</v>
      </c>
      <c r="G25" s="80">
        <v>8.8776899999999994</v>
      </c>
      <c r="H25" s="81">
        <v>8</v>
      </c>
      <c r="I25" s="82">
        <v>5.4332799999999999</v>
      </c>
      <c r="J25" s="83">
        <v>5</v>
      </c>
      <c r="K25" s="80">
        <v>3.1444100000000001</v>
      </c>
      <c r="L25" s="81">
        <v>4</v>
      </c>
      <c r="M25" s="82">
        <v>9.9999000000000005E-2</v>
      </c>
      <c r="N25" s="83">
        <v>1</v>
      </c>
      <c r="O25" s="80">
        <v>3</v>
      </c>
      <c r="P25" s="83">
        <v>1.8110900000000001</v>
      </c>
      <c r="Q25" s="80">
        <f t="shared" ref="Q25:Q27" si="0">AVERAGE(E25,G25,I25,K25,M25,O25)</f>
        <v>4.3610715000000004</v>
      </c>
      <c r="R25" s="81">
        <f t="shared" ref="R25:R27" si="1">SUM(F25,H25,J25,L25,N25,P25)</f>
        <v>28.81109</v>
      </c>
      <c r="S25" s="17"/>
      <c r="T25" s="17"/>
      <c r="U25" s="17"/>
      <c r="V25" s="17"/>
      <c r="W25" s="19"/>
    </row>
    <row r="26" spans="1:23" ht="14.25" customHeight="1" x14ac:dyDescent="0.15">
      <c r="A26" s="206"/>
      <c r="B26" s="79">
        <v>3</v>
      </c>
      <c r="C26" s="74" t="s">
        <v>85</v>
      </c>
      <c r="D26" s="181">
        <v>403</v>
      </c>
      <c r="E26" s="80">
        <v>6.4554900000000002</v>
      </c>
      <c r="F26" s="81">
        <v>12</v>
      </c>
      <c r="G26" s="80">
        <v>6.2888299999999999</v>
      </c>
      <c r="H26" s="81">
        <v>12</v>
      </c>
      <c r="I26" s="82">
        <v>16.410900000000002</v>
      </c>
      <c r="J26" s="83">
        <v>10</v>
      </c>
      <c r="K26" s="80">
        <v>10.4777</v>
      </c>
      <c r="L26" s="81">
        <v>12</v>
      </c>
      <c r="M26" s="82">
        <v>14.6332</v>
      </c>
      <c r="N26" s="83">
        <v>8</v>
      </c>
      <c r="O26" s="80">
        <v>8.7614699999999992</v>
      </c>
      <c r="P26" s="83">
        <v>9</v>
      </c>
      <c r="Q26" s="80">
        <f t="shared" si="0"/>
        <v>10.504598333333334</v>
      </c>
      <c r="R26" s="81">
        <f t="shared" si="1"/>
        <v>63</v>
      </c>
      <c r="S26" s="17"/>
      <c r="T26" s="17"/>
      <c r="U26" s="17"/>
      <c r="V26" s="17"/>
      <c r="W26" s="19"/>
    </row>
    <row r="27" spans="1:23" ht="14.25" customHeight="1" x14ac:dyDescent="0.15">
      <c r="A27" s="35"/>
      <c r="B27" s="79">
        <v>4</v>
      </c>
      <c r="C27" s="74" t="s">
        <v>85</v>
      </c>
      <c r="D27" s="181">
        <v>404</v>
      </c>
      <c r="E27" s="80">
        <v>3.0333000000000001</v>
      </c>
      <c r="F27" s="81">
        <v>8</v>
      </c>
      <c r="G27" s="80">
        <v>4.31107</v>
      </c>
      <c r="H27" s="81">
        <v>7</v>
      </c>
      <c r="I27" s="82">
        <v>9.6998999999999995</v>
      </c>
      <c r="J27" s="83">
        <v>13</v>
      </c>
      <c r="K27" s="80">
        <v>6.39994</v>
      </c>
      <c r="L27" s="81">
        <v>7</v>
      </c>
      <c r="M27" s="82">
        <v>1.65554</v>
      </c>
      <c r="N27" s="83">
        <v>4</v>
      </c>
      <c r="O27" s="80">
        <v>3.62819</v>
      </c>
      <c r="P27" s="83">
        <v>6</v>
      </c>
      <c r="Q27" s="80">
        <f t="shared" si="0"/>
        <v>4.7879899999999997</v>
      </c>
      <c r="R27" s="81">
        <f t="shared" si="1"/>
        <v>45</v>
      </c>
      <c r="S27" s="17"/>
      <c r="T27" s="17"/>
      <c r="U27" s="17"/>
      <c r="V27" s="17"/>
      <c r="W27" s="19"/>
    </row>
    <row r="28" spans="1:23" ht="14.25" customHeight="1" x14ac:dyDescent="0.15">
      <c r="A28" s="35"/>
      <c r="B28" s="79">
        <v>5</v>
      </c>
      <c r="C28" s="74" t="s">
        <v>85</v>
      </c>
      <c r="D28" s="181">
        <v>444</v>
      </c>
      <c r="E28" s="80">
        <v>3.0221900000000002</v>
      </c>
      <c r="F28" s="81">
        <v>12</v>
      </c>
      <c r="G28" s="80">
        <v>4.2241799999999996</v>
      </c>
      <c r="H28" s="81">
        <v>10</v>
      </c>
      <c r="I28" s="82">
        <v>5.9312699999999996</v>
      </c>
      <c r="J28" s="83">
        <v>11</v>
      </c>
      <c r="K28" s="80">
        <v>6.0332699999999999</v>
      </c>
      <c r="L28" s="81">
        <v>7</v>
      </c>
      <c r="M28" s="82">
        <v>5.7332799999999997</v>
      </c>
      <c r="N28" s="83">
        <v>9</v>
      </c>
      <c r="O28" s="80">
        <v>3.2726299999999999</v>
      </c>
      <c r="P28" s="83">
        <v>6</v>
      </c>
      <c r="Q28" s="80">
        <f t="shared" ref="Q28:Q31" si="2">AVERAGE(E28,G28,I28,K28,M28,O28)</f>
        <v>4.7028033333333328</v>
      </c>
      <c r="R28" s="81">
        <f t="shared" ref="R28:R31" si="3">SUM(F28,H28,J28,L28,N28,P28)</f>
        <v>55</v>
      </c>
      <c r="S28" s="17"/>
      <c r="T28" s="17"/>
      <c r="U28" s="17"/>
      <c r="V28" s="17"/>
      <c r="W28" s="19"/>
    </row>
    <row r="29" spans="1:23" ht="14.25" customHeight="1" x14ac:dyDescent="0.15">
      <c r="A29" s="35"/>
      <c r="B29" s="79">
        <v>6</v>
      </c>
      <c r="C29" s="74" t="s">
        <v>85</v>
      </c>
      <c r="D29" s="181">
        <v>446</v>
      </c>
      <c r="E29" s="80">
        <v>2.7555299999999998</v>
      </c>
      <c r="F29" s="81">
        <v>5</v>
      </c>
      <c r="G29" s="80">
        <v>2.4777499999999999</v>
      </c>
      <c r="H29" s="81">
        <v>9</v>
      </c>
      <c r="I29" s="82">
        <v>2.4777499999999999</v>
      </c>
      <c r="J29" s="83">
        <v>8</v>
      </c>
      <c r="K29" s="80">
        <v>7.9372499999999997</v>
      </c>
      <c r="L29" s="81">
        <v>16</v>
      </c>
      <c r="M29" s="82">
        <v>2.1515300000000002</v>
      </c>
      <c r="N29" s="83">
        <v>4</v>
      </c>
      <c r="O29" s="80">
        <v>5.3999499999999996</v>
      </c>
      <c r="P29" s="83">
        <v>13</v>
      </c>
      <c r="Q29" s="80">
        <f t="shared" si="2"/>
        <v>3.8666266666666669</v>
      </c>
      <c r="R29" s="81">
        <f t="shared" si="3"/>
        <v>55</v>
      </c>
      <c r="S29" s="17"/>
      <c r="T29" s="17"/>
      <c r="U29" s="17"/>
      <c r="V29" s="17"/>
      <c r="W29" s="19"/>
    </row>
    <row r="30" spans="1:23" ht="14.25" customHeight="1" x14ac:dyDescent="0.15">
      <c r="A30" s="35"/>
      <c r="B30" s="79">
        <v>7</v>
      </c>
      <c r="C30" s="74" t="s">
        <v>85</v>
      </c>
      <c r="D30" s="191">
        <v>447</v>
      </c>
      <c r="E30" s="80">
        <v>3.2999700000000001</v>
      </c>
      <c r="F30" s="81">
        <v>7</v>
      </c>
      <c r="G30" s="80">
        <v>3.2999700000000001</v>
      </c>
      <c r="H30" s="81">
        <v>5</v>
      </c>
      <c r="I30" s="82">
        <v>4.9555100000000003</v>
      </c>
      <c r="J30" s="83">
        <v>9</v>
      </c>
      <c r="K30" s="80">
        <v>2.4999699999999998</v>
      </c>
      <c r="L30" s="81">
        <v>10</v>
      </c>
      <c r="M30" s="82">
        <v>13.5443</v>
      </c>
      <c r="N30" s="83">
        <v>11</v>
      </c>
      <c r="O30" s="80">
        <v>18.144300000000001</v>
      </c>
      <c r="P30" s="81">
        <v>11</v>
      </c>
      <c r="Q30" s="80">
        <f t="shared" si="2"/>
        <v>7.6240033333333335</v>
      </c>
      <c r="R30" s="81">
        <f t="shared" si="3"/>
        <v>53</v>
      </c>
      <c r="S30" s="17"/>
      <c r="T30" s="17"/>
      <c r="U30" s="17"/>
      <c r="V30" s="17"/>
      <c r="W30" s="19"/>
    </row>
    <row r="31" spans="1:23" ht="14.25" customHeight="1" x14ac:dyDescent="0.15">
      <c r="A31" s="35"/>
      <c r="B31" s="79">
        <v>8</v>
      </c>
      <c r="C31" s="74" t="s">
        <v>85</v>
      </c>
      <c r="D31" s="191">
        <v>452</v>
      </c>
      <c r="E31" s="80">
        <v>0.71110399999999996</v>
      </c>
      <c r="F31" s="81">
        <v>3</v>
      </c>
      <c r="G31" s="80">
        <v>3.18886</v>
      </c>
      <c r="H31" s="86">
        <v>11</v>
      </c>
      <c r="I31" s="82">
        <v>0.96665699999999999</v>
      </c>
      <c r="J31" s="83">
        <v>3</v>
      </c>
      <c r="K31" s="80">
        <v>2.2777500000000002</v>
      </c>
      <c r="L31" s="81">
        <v>7</v>
      </c>
      <c r="M31" s="82">
        <v>6.7888200000000003</v>
      </c>
      <c r="N31" s="83">
        <v>12</v>
      </c>
      <c r="O31" s="80">
        <v>4.4110699999999996</v>
      </c>
      <c r="P31" s="81">
        <v>8</v>
      </c>
      <c r="Q31" s="80">
        <f t="shared" si="2"/>
        <v>3.0573768333333331</v>
      </c>
      <c r="R31" s="81">
        <f t="shared" si="3"/>
        <v>44</v>
      </c>
      <c r="S31" s="17"/>
      <c r="T31" s="17"/>
      <c r="U31" s="17"/>
      <c r="V31" s="17"/>
      <c r="W31" s="19"/>
    </row>
    <row r="32" spans="1:23" ht="14.25" customHeight="1" x14ac:dyDescent="0.15">
      <c r="A32" s="35"/>
      <c r="B32" s="79">
        <v>9</v>
      </c>
      <c r="C32" s="84"/>
      <c r="D32" s="85"/>
      <c r="E32" s="80"/>
      <c r="F32" s="86"/>
      <c r="G32" s="80"/>
      <c r="H32" s="86"/>
      <c r="I32" s="82"/>
      <c r="J32" s="82"/>
      <c r="K32" s="80"/>
      <c r="L32" s="86"/>
      <c r="M32" s="82"/>
      <c r="N32" s="82"/>
      <c r="O32" s="80"/>
      <c r="P32" s="86"/>
      <c r="Q32" s="87"/>
      <c r="R32" s="88"/>
      <c r="S32" s="17"/>
      <c r="T32" s="17"/>
      <c r="U32" s="17"/>
      <c r="V32" s="17"/>
      <c r="W32" s="19"/>
    </row>
    <row r="33" spans="1:23" ht="14.25" customHeight="1" x14ac:dyDescent="0.15">
      <c r="A33" s="35"/>
      <c r="B33" s="192">
        <v>10</v>
      </c>
      <c r="C33" s="193"/>
      <c r="D33" s="194"/>
      <c r="E33" s="80"/>
      <c r="F33" s="86"/>
      <c r="G33" s="89"/>
      <c r="H33" s="90"/>
      <c r="I33" s="82"/>
      <c r="J33" s="82"/>
      <c r="K33" s="89"/>
      <c r="L33" s="90"/>
      <c r="M33" s="82"/>
      <c r="N33" s="82"/>
      <c r="O33" s="89"/>
      <c r="P33" s="90"/>
      <c r="Q33" s="91"/>
      <c r="R33" s="92"/>
      <c r="S33" s="17"/>
      <c r="T33" s="17"/>
      <c r="U33" s="17"/>
      <c r="V33" s="17"/>
      <c r="W33" s="19"/>
    </row>
    <row r="34" spans="1:23" ht="14.25" customHeight="1" x14ac:dyDescent="0.15">
      <c r="A34" s="93"/>
      <c r="B34" s="94"/>
      <c r="C34" s="94"/>
      <c r="D34" s="73" t="s">
        <v>47</v>
      </c>
      <c r="E34" s="95">
        <f>AVERAGE(E24:E33)</f>
        <v>3.35135425</v>
      </c>
      <c r="F34" s="96">
        <f t="shared" ref="F34:R34" si="4">AVERAGE(F24:F33)</f>
        <v>7.875</v>
      </c>
      <c r="G34" s="97">
        <f t="shared" si="4"/>
        <v>4.2918750000000001</v>
      </c>
      <c r="H34" s="98">
        <f t="shared" si="4"/>
        <v>8.625</v>
      </c>
      <c r="I34" s="99">
        <f t="shared" si="4"/>
        <v>6.3135696249999995</v>
      </c>
      <c r="J34" s="99">
        <f t="shared" si="4"/>
        <v>8</v>
      </c>
      <c r="K34" s="97">
        <f t="shared" si="4"/>
        <v>6.6420987499999997</v>
      </c>
      <c r="L34" s="98">
        <f t="shared" si="4"/>
        <v>8.5</v>
      </c>
      <c r="M34" s="99">
        <f t="shared" si="4"/>
        <v>6.0008298750000009</v>
      </c>
      <c r="N34" s="99">
        <f t="shared" si="4"/>
        <v>7</v>
      </c>
      <c r="O34" s="97">
        <f t="shared" si="4"/>
        <v>6.6563600000000003</v>
      </c>
      <c r="P34" s="98">
        <f t="shared" si="4"/>
        <v>8.2263862500000009</v>
      </c>
      <c r="Q34" s="100">
        <f t="shared" si="4"/>
        <v>5.5426812500000002</v>
      </c>
      <c r="R34" s="98">
        <f t="shared" si="4"/>
        <v>48.226386250000004</v>
      </c>
      <c r="S34" s="17"/>
      <c r="T34" s="17"/>
      <c r="U34" s="17"/>
      <c r="V34" s="17"/>
      <c r="W34" s="19"/>
    </row>
    <row r="35" spans="1:23" ht="14.25" customHeight="1" x14ac:dyDescent="0.15">
      <c r="A35" s="93"/>
      <c r="B35" s="94"/>
      <c r="C35" s="94"/>
      <c r="D35" s="73" t="s">
        <v>48</v>
      </c>
      <c r="E35" s="101">
        <f>STDEV(E24:E33)/SQRT(COUNT(E24:E33))</f>
        <v>0.65903665323728799</v>
      </c>
      <c r="F35" s="102">
        <f t="shared" ref="F35:R35" si="5">STDEV(F24:F33)/SQRT(COUNT(F24:F33))</f>
        <v>1.1090133968017313</v>
      </c>
      <c r="G35" s="101">
        <f t="shared" si="5"/>
        <v>0.81728921466463944</v>
      </c>
      <c r="H35" s="102">
        <f t="shared" si="5"/>
        <v>0.82239849569067525</v>
      </c>
      <c r="I35" s="103">
        <f t="shared" si="5"/>
        <v>1.7024930738052308</v>
      </c>
      <c r="J35" s="103">
        <f t="shared" si="5"/>
        <v>1.2100767390069582</v>
      </c>
      <c r="K35" s="101">
        <f t="shared" si="5"/>
        <v>1.4935787491343899</v>
      </c>
      <c r="L35" s="102">
        <f t="shared" si="5"/>
        <v>1.4015297764534702</v>
      </c>
      <c r="M35" s="103">
        <f t="shared" si="5"/>
        <v>1.9244535291343134</v>
      </c>
      <c r="N35" s="103">
        <f t="shared" si="5"/>
        <v>1.3363062095621219</v>
      </c>
      <c r="O35" s="101">
        <f t="shared" si="5"/>
        <v>1.7779055227962157</v>
      </c>
      <c r="P35" s="102">
        <f t="shared" si="5"/>
        <v>1.266974751091491</v>
      </c>
      <c r="Q35" s="103">
        <f t="shared" si="5"/>
        <v>0.85168685475543193</v>
      </c>
      <c r="R35" s="102">
        <f t="shared" si="5"/>
        <v>3.7244468935347177</v>
      </c>
      <c r="S35" s="17"/>
      <c r="T35" s="17"/>
      <c r="U35" s="17"/>
      <c r="V35" s="17"/>
      <c r="W35" s="19"/>
    </row>
    <row r="36" spans="1:23" ht="14.25" customHeight="1" x14ac:dyDescent="0.15">
      <c r="A36" s="36" t="s">
        <v>49</v>
      </c>
      <c r="B36" s="37">
        <v>1</v>
      </c>
      <c r="C36" s="104" t="s">
        <v>85</v>
      </c>
      <c r="D36" s="182">
        <v>405</v>
      </c>
      <c r="E36" s="82"/>
      <c r="F36" s="81"/>
      <c r="G36" s="105"/>
      <c r="H36" s="106"/>
      <c r="I36" s="77"/>
      <c r="J36" s="78"/>
      <c r="K36" s="75"/>
      <c r="L36" s="76"/>
      <c r="M36" s="77"/>
      <c r="N36" s="78"/>
      <c r="O36" s="75"/>
      <c r="P36" s="76"/>
      <c r="Q36" s="80"/>
      <c r="R36" s="81"/>
      <c r="S36" s="17"/>
      <c r="T36" s="17"/>
      <c r="U36" s="17"/>
      <c r="V36" s="17"/>
      <c r="W36" s="19"/>
    </row>
    <row r="37" spans="1:23" ht="14.25" customHeight="1" x14ac:dyDescent="0.15">
      <c r="A37" s="207" t="s">
        <v>83</v>
      </c>
      <c r="B37" s="39">
        <v>2</v>
      </c>
      <c r="C37" s="107" t="s">
        <v>85</v>
      </c>
      <c r="D37" s="183">
        <v>406</v>
      </c>
      <c r="E37" s="82">
        <v>0.62221599999999999</v>
      </c>
      <c r="F37" s="81">
        <v>3</v>
      </c>
      <c r="G37" s="205">
        <v>0.89999099999999999</v>
      </c>
      <c r="H37" s="108">
        <v>3</v>
      </c>
      <c r="I37" s="82">
        <v>6.3777100000000004</v>
      </c>
      <c r="J37" s="83">
        <v>12</v>
      </c>
      <c r="K37" s="80">
        <v>3.7332999999999998</v>
      </c>
      <c r="L37" s="81">
        <v>3</v>
      </c>
      <c r="M37" s="82">
        <v>5.89994</v>
      </c>
      <c r="N37" s="83">
        <v>5</v>
      </c>
      <c r="O37" s="80">
        <v>0</v>
      </c>
      <c r="P37" s="81">
        <v>0</v>
      </c>
      <c r="Q37" s="80">
        <f t="shared" ref="Q37:Q38" si="6">AVERAGE(E37,G37,I37,K37,M37,O37)</f>
        <v>2.9221928333333334</v>
      </c>
      <c r="R37" s="81">
        <f t="shared" ref="R37:R38" si="7">SUM(F37,H37,J37,L37,N37,P37)</f>
        <v>26</v>
      </c>
      <c r="S37" s="17"/>
      <c r="T37" s="17"/>
      <c r="U37" s="17"/>
      <c r="V37" s="17"/>
      <c r="W37" s="19"/>
    </row>
    <row r="38" spans="1:23" ht="14.25" customHeight="1" x14ac:dyDescent="0.15">
      <c r="A38" s="207"/>
      <c r="B38" s="39">
        <v>3</v>
      </c>
      <c r="C38" s="107" t="s">
        <v>85</v>
      </c>
      <c r="D38" s="183">
        <v>407</v>
      </c>
      <c r="E38" s="82">
        <v>1.22221</v>
      </c>
      <c r="F38" s="81">
        <v>2</v>
      </c>
      <c r="G38" s="80">
        <v>4.1444000000000001</v>
      </c>
      <c r="H38" s="81">
        <v>2</v>
      </c>
      <c r="I38" s="82">
        <v>0</v>
      </c>
      <c r="J38" s="83">
        <v>0</v>
      </c>
      <c r="K38" s="80">
        <v>0</v>
      </c>
      <c r="L38" s="81">
        <v>0</v>
      </c>
      <c r="M38" s="82">
        <v>0</v>
      </c>
      <c r="N38" s="83">
        <v>0</v>
      </c>
      <c r="O38" s="80">
        <v>0</v>
      </c>
      <c r="P38" s="81">
        <v>0</v>
      </c>
      <c r="Q38" s="80">
        <f t="shared" si="6"/>
        <v>0.89443499999999998</v>
      </c>
      <c r="R38" s="81">
        <f t="shared" si="7"/>
        <v>4</v>
      </c>
      <c r="S38" s="17"/>
      <c r="T38" s="17"/>
      <c r="U38" s="17"/>
      <c r="V38" s="17"/>
      <c r="W38" s="19"/>
    </row>
    <row r="39" spans="1:23" ht="14.25" customHeight="1" x14ac:dyDescent="0.15">
      <c r="A39" s="38"/>
      <c r="B39" s="39">
        <v>4</v>
      </c>
      <c r="C39" s="107" t="s">
        <v>85</v>
      </c>
      <c r="D39" s="183">
        <v>408</v>
      </c>
      <c r="E39" s="109"/>
      <c r="F39" s="110"/>
      <c r="G39" s="111"/>
      <c r="H39" s="110"/>
      <c r="I39" s="109"/>
      <c r="J39" s="112"/>
      <c r="K39" s="111"/>
      <c r="L39" s="110"/>
      <c r="M39" s="109"/>
      <c r="N39" s="112"/>
      <c r="O39" s="111"/>
      <c r="P39" s="110"/>
      <c r="Q39" s="80"/>
      <c r="R39" s="81"/>
      <c r="S39" s="17"/>
      <c r="T39" s="17"/>
      <c r="U39" s="17"/>
      <c r="V39" s="17"/>
      <c r="W39" s="19"/>
    </row>
    <row r="40" spans="1:23" ht="14.25" customHeight="1" x14ac:dyDescent="0.15">
      <c r="A40" s="38"/>
      <c r="B40" s="39">
        <v>5</v>
      </c>
      <c r="C40" s="107" t="s">
        <v>85</v>
      </c>
      <c r="D40" s="183">
        <v>445</v>
      </c>
      <c r="E40" s="109">
        <v>1.2555400000000001</v>
      </c>
      <c r="F40" s="110">
        <v>6</v>
      </c>
      <c r="G40" s="111">
        <v>1.9999800000000001</v>
      </c>
      <c r="H40" s="110">
        <v>9</v>
      </c>
      <c r="I40" s="109">
        <v>6.2110500000000002</v>
      </c>
      <c r="J40" s="112">
        <v>10</v>
      </c>
      <c r="K40" s="111">
        <v>8.9887999999999995</v>
      </c>
      <c r="L40" s="110">
        <v>17</v>
      </c>
      <c r="M40" s="109">
        <v>3.91107</v>
      </c>
      <c r="N40" s="112">
        <v>10</v>
      </c>
      <c r="O40" s="111">
        <v>13.7554</v>
      </c>
      <c r="P40" s="110">
        <v>5</v>
      </c>
      <c r="Q40" s="80">
        <f t="shared" ref="Q40:Q43" si="8">AVERAGE(E40,G40,I40,K40,M40,O40)</f>
        <v>6.0203066666666665</v>
      </c>
      <c r="R40" s="81">
        <f t="shared" ref="R40:R43" si="9">SUM(F40,H40,J40,L40,N40,P40)</f>
        <v>57</v>
      </c>
      <c r="S40" s="17"/>
      <c r="T40" s="17"/>
      <c r="U40" s="17"/>
      <c r="V40" s="17"/>
      <c r="W40" s="19"/>
    </row>
    <row r="41" spans="1:23" ht="14.25" customHeight="1" x14ac:dyDescent="0.15">
      <c r="A41" s="38"/>
      <c r="B41" s="39">
        <v>6</v>
      </c>
      <c r="C41" s="107" t="s">
        <v>85</v>
      </c>
      <c r="D41" s="183">
        <v>448</v>
      </c>
      <c r="E41" s="109">
        <v>0.377774</v>
      </c>
      <c r="F41" s="110">
        <v>1</v>
      </c>
      <c r="G41" s="111">
        <v>4.0999600000000003</v>
      </c>
      <c r="H41" s="110">
        <v>5</v>
      </c>
      <c r="I41" s="109">
        <v>1.73332</v>
      </c>
      <c r="J41" s="112">
        <v>3</v>
      </c>
      <c r="K41" s="111">
        <v>1.3888799999999999</v>
      </c>
      <c r="L41" s="110">
        <v>2</v>
      </c>
      <c r="M41" s="109">
        <v>1.58887</v>
      </c>
      <c r="N41" s="112">
        <v>2</v>
      </c>
      <c r="O41" s="111">
        <v>1.4333199999999999</v>
      </c>
      <c r="P41" s="110">
        <v>3</v>
      </c>
      <c r="Q41" s="80">
        <f t="shared" si="8"/>
        <v>1.770354</v>
      </c>
      <c r="R41" s="81">
        <f t="shared" si="9"/>
        <v>16</v>
      </c>
      <c r="S41" s="17"/>
      <c r="T41" s="17"/>
      <c r="U41" s="17"/>
      <c r="V41" s="17"/>
      <c r="W41" s="19"/>
    </row>
    <row r="42" spans="1:23" ht="14.25" customHeight="1" x14ac:dyDescent="0.15">
      <c r="A42" s="38"/>
      <c r="B42" s="39">
        <v>7</v>
      </c>
      <c r="C42" s="107" t="s">
        <v>85</v>
      </c>
      <c r="D42" s="190">
        <v>449</v>
      </c>
      <c r="E42" s="111">
        <v>0.33333000000000002</v>
      </c>
      <c r="F42" s="110">
        <v>1</v>
      </c>
      <c r="G42" s="111">
        <v>1.5555399999999999</v>
      </c>
      <c r="H42" s="110">
        <v>3</v>
      </c>
      <c r="I42" s="109">
        <v>0.14444299999999999</v>
      </c>
      <c r="J42" s="112">
        <v>1</v>
      </c>
      <c r="K42" s="111">
        <v>0.51110599999999995</v>
      </c>
      <c r="L42" s="110">
        <v>1</v>
      </c>
      <c r="M42" s="109">
        <v>1.3333200000000001</v>
      </c>
      <c r="N42" s="112">
        <v>5</v>
      </c>
      <c r="O42" s="111">
        <v>1.34443</v>
      </c>
      <c r="P42" s="110">
        <v>2</v>
      </c>
      <c r="Q42" s="80">
        <f t="shared" si="8"/>
        <v>0.8703614999999999</v>
      </c>
      <c r="R42" s="81">
        <f t="shared" si="9"/>
        <v>13</v>
      </c>
      <c r="S42" s="17"/>
      <c r="T42" s="17"/>
      <c r="U42" s="17"/>
      <c r="V42" s="17"/>
      <c r="W42" s="19"/>
    </row>
    <row r="43" spans="1:23" ht="14.25" customHeight="1" x14ac:dyDescent="0.15">
      <c r="A43" s="38"/>
      <c r="B43" s="39">
        <v>8</v>
      </c>
      <c r="C43" s="107" t="s">
        <v>85</v>
      </c>
      <c r="D43" s="190">
        <v>451</v>
      </c>
      <c r="E43" s="111">
        <v>1.0777699999999999</v>
      </c>
      <c r="F43" s="110">
        <v>6</v>
      </c>
      <c r="G43" s="111">
        <v>1.0111000000000001</v>
      </c>
      <c r="H43" s="110">
        <v>6</v>
      </c>
      <c r="I43" s="109">
        <v>0.87776900000000002</v>
      </c>
      <c r="J43" s="112">
        <v>3</v>
      </c>
      <c r="K43" s="111">
        <v>4.2666199999999996</v>
      </c>
      <c r="L43" s="110">
        <v>6</v>
      </c>
      <c r="M43" s="109">
        <v>0</v>
      </c>
      <c r="N43" s="112">
        <v>0</v>
      </c>
      <c r="O43" s="111">
        <v>3.4221900000000001</v>
      </c>
      <c r="P43" s="110">
        <v>6</v>
      </c>
      <c r="Q43" s="80">
        <f t="shared" si="8"/>
        <v>1.7759081666666665</v>
      </c>
      <c r="R43" s="81">
        <f t="shared" si="9"/>
        <v>27</v>
      </c>
      <c r="S43" s="17"/>
      <c r="T43" s="17"/>
      <c r="U43" s="17"/>
      <c r="V43" s="17"/>
      <c r="W43" s="19"/>
    </row>
    <row r="44" spans="1:23" ht="14.25" customHeight="1" x14ac:dyDescent="0.15">
      <c r="A44" s="38"/>
      <c r="B44" s="39">
        <v>9</v>
      </c>
      <c r="C44" s="114"/>
      <c r="D44" s="113"/>
      <c r="E44" s="111"/>
      <c r="F44" s="115"/>
      <c r="G44" s="111"/>
      <c r="H44" s="110"/>
      <c r="I44" s="109"/>
      <c r="J44" s="109"/>
      <c r="K44" s="111"/>
      <c r="L44" s="115"/>
      <c r="M44" s="109"/>
      <c r="N44" s="109"/>
      <c r="O44" s="111"/>
      <c r="P44" s="115"/>
      <c r="Q44" s="87"/>
      <c r="R44" s="88"/>
      <c r="S44" s="17"/>
      <c r="T44" s="17"/>
      <c r="U44" s="17"/>
      <c r="V44" s="17"/>
      <c r="W44" s="19"/>
    </row>
    <row r="45" spans="1:23" ht="14.25" customHeight="1" x14ac:dyDescent="0.15">
      <c r="A45" s="38"/>
      <c r="B45" s="195">
        <v>10</v>
      </c>
      <c r="C45" s="196"/>
      <c r="D45" s="197"/>
      <c r="E45" s="116"/>
      <c r="F45" s="117"/>
      <c r="G45" s="111"/>
      <c r="H45" s="115"/>
      <c r="I45" s="109"/>
      <c r="J45" s="109"/>
      <c r="K45" s="111"/>
      <c r="L45" s="115"/>
      <c r="M45" s="109"/>
      <c r="N45" s="109"/>
      <c r="O45" s="111"/>
      <c r="P45" s="115"/>
      <c r="Q45" s="87"/>
      <c r="R45" s="88"/>
      <c r="S45" s="17"/>
      <c r="T45" s="17"/>
      <c r="U45" s="17"/>
      <c r="V45" s="17"/>
      <c r="W45" s="19"/>
    </row>
    <row r="46" spans="1:23" ht="14.25" customHeight="1" x14ac:dyDescent="0.15">
      <c r="A46" s="118"/>
      <c r="B46" s="119"/>
      <c r="C46" s="119"/>
      <c r="D46" s="120" t="s">
        <v>47</v>
      </c>
      <c r="E46" s="95">
        <f>AVERAGE(E36:E45)</f>
        <v>0.81480666666666668</v>
      </c>
      <c r="F46" s="99">
        <f t="shared" ref="F46:Q46" si="10">AVERAGE(F36:F45)</f>
        <v>3.1666666666666665</v>
      </c>
      <c r="G46" s="95">
        <f t="shared" si="10"/>
        <v>2.2851618333333339</v>
      </c>
      <c r="H46" s="96">
        <f t="shared" si="10"/>
        <v>4.666666666666667</v>
      </c>
      <c r="I46" s="99">
        <f t="shared" si="10"/>
        <v>2.557382</v>
      </c>
      <c r="J46" s="99">
        <f t="shared" si="10"/>
        <v>4.833333333333333</v>
      </c>
      <c r="K46" s="95">
        <f t="shared" si="10"/>
        <v>3.1481176666666664</v>
      </c>
      <c r="L46" s="96">
        <f t="shared" si="10"/>
        <v>4.833333333333333</v>
      </c>
      <c r="M46" s="99">
        <f t="shared" si="10"/>
        <v>2.1221999999999999</v>
      </c>
      <c r="N46" s="99">
        <f t="shared" si="10"/>
        <v>3.6666666666666665</v>
      </c>
      <c r="O46" s="95">
        <f t="shared" si="10"/>
        <v>3.3258899999999998</v>
      </c>
      <c r="P46" s="96">
        <f t="shared" si="10"/>
        <v>2.6666666666666665</v>
      </c>
      <c r="Q46" s="99">
        <f t="shared" si="10"/>
        <v>2.3755930277777773</v>
      </c>
      <c r="R46" s="96">
        <f>AVERAGE(R36:R45)</f>
        <v>23.833333333333332</v>
      </c>
      <c r="S46" s="17"/>
      <c r="T46" s="17"/>
      <c r="U46" s="17"/>
      <c r="V46" s="17"/>
      <c r="W46" s="19"/>
    </row>
    <row r="47" spans="1:23" ht="14.25" customHeight="1" x14ac:dyDescent="0.15">
      <c r="A47" s="121"/>
      <c r="B47" s="122"/>
      <c r="C47" s="122"/>
      <c r="D47" s="123" t="s">
        <v>48</v>
      </c>
      <c r="E47" s="101">
        <f>STDEV(E36:E45)/SQRT(COUNT(E36:E45))</f>
        <v>0.17217060908348369</v>
      </c>
      <c r="F47" s="103">
        <f t="shared" ref="F47:R47" si="11">STDEV(F36:F45)/SQRT(COUNT(F36:F45))</f>
        <v>0.94575073060740733</v>
      </c>
      <c r="G47" s="101">
        <f t="shared" si="11"/>
        <v>0.60293359049845707</v>
      </c>
      <c r="H47" s="102">
        <f t="shared" si="11"/>
        <v>1.0540925533894601</v>
      </c>
      <c r="I47" s="103">
        <f t="shared" si="11"/>
        <v>1.2083990952642816</v>
      </c>
      <c r="J47" s="103">
        <f t="shared" si="11"/>
        <v>2.0234733614368254</v>
      </c>
      <c r="K47" s="101">
        <f t="shared" si="11"/>
        <v>1.3621851133743821</v>
      </c>
      <c r="L47" s="102">
        <f t="shared" si="11"/>
        <v>2.5744470819532839</v>
      </c>
      <c r="M47" s="103">
        <f t="shared" si="11"/>
        <v>0.9554338213223702</v>
      </c>
      <c r="N47" s="103">
        <f t="shared" si="11"/>
        <v>1.5634719199411433</v>
      </c>
      <c r="O47" s="101">
        <f t="shared" si="11"/>
        <v>2.1479839078447491</v>
      </c>
      <c r="P47" s="102">
        <f t="shared" si="11"/>
        <v>1.0219806477837261</v>
      </c>
      <c r="Q47" s="103">
        <f t="shared" si="11"/>
        <v>0.79095293003216671</v>
      </c>
      <c r="R47" s="102">
        <f t="shared" si="11"/>
        <v>7.4985183721704498</v>
      </c>
      <c r="S47" s="17"/>
      <c r="T47" s="17"/>
      <c r="U47" s="17"/>
      <c r="V47" s="17"/>
      <c r="W47" s="19"/>
    </row>
    <row r="48" spans="1:23" ht="14.25" customHeight="1" x14ac:dyDescent="0.15">
      <c r="A48" s="51" t="s">
        <v>58</v>
      </c>
      <c r="B48" s="40">
        <v>1</v>
      </c>
      <c r="C48" s="124"/>
      <c r="D48" s="184"/>
      <c r="E48" s="125"/>
      <c r="F48" s="126"/>
      <c r="G48" s="125"/>
      <c r="H48" s="127"/>
      <c r="I48" s="128"/>
      <c r="J48" s="126"/>
      <c r="K48" s="125"/>
      <c r="L48" s="127"/>
      <c r="M48" s="128"/>
      <c r="N48" s="126"/>
      <c r="O48" s="125"/>
      <c r="P48" s="127"/>
      <c r="Q48" s="80"/>
      <c r="R48" s="81"/>
      <c r="S48" s="17"/>
      <c r="T48" s="17"/>
      <c r="U48" s="17"/>
      <c r="V48" s="17"/>
      <c r="W48" s="19"/>
    </row>
    <row r="49" spans="1:23" ht="14.25" customHeight="1" x14ac:dyDescent="0.15">
      <c r="A49" s="208"/>
      <c r="B49" s="41">
        <v>2</v>
      </c>
      <c r="C49" s="124"/>
      <c r="D49" s="185"/>
      <c r="E49" s="129"/>
      <c r="F49" s="126"/>
      <c r="G49" s="129"/>
      <c r="H49" s="130"/>
      <c r="I49" s="128"/>
      <c r="J49" s="126"/>
      <c r="K49" s="129"/>
      <c r="L49" s="130"/>
      <c r="M49" s="128"/>
      <c r="N49" s="126"/>
      <c r="O49" s="129"/>
      <c r="P49" s="130"/>
      <c r="Q49" s="80"/>
      <c r="R49" s="81"/>
      <c r="S49" s="17"/>
      <c r="T49" s="17"/>
      <c r="U49" s="17"/>
      <c r="V49" s="17"/>
      <c r="W49" s="19"/>
    </row>
    <row r="50" spans="1:23" ht="14.25" customHeight="1" x14ac:dyDescent="0.15">
      <c r="A50" s="208"/>
      <c r="B50" s="43">
        <v>3</v>
      </c>
      <c r="C50" s="124"/>
      <c r="D50" s="185"/>
      <c r="E50" s="128"/>
      <c r="F50" s="126"/>
      <c r="G50" s="129"/>
      <c r="H50" s="130"/>
      <c r="I50" s="128"/>
      <c r="J50" s="126"/>
      <c r="K50" s="129"/>
      <c r="L50" s="130"/>
      <c r="M50" s="128"/>
      <c r="N50" s="126"/>
      <c r="O50" s="129"/>
      <c r="P50" s="130"/>
      <c r="Q50" s="80"/>
      <c r="R50" s="81"/>
      <c r="S50" s="17"/>
      <c r="T50" s="17"/>
      <c r="U50" s="17"/>
      <c r="V50" s="17"/>
      <c r="W50" s="19"/>
    </row>
    <row r="51" spans="1:23" ht="14.25" customHeight="1" x14ac:dyDescent="0.15">
      <c r="A51" s="42"/>
      <c r="B51" s="43">
        <v>4</v>
      </c>
      <c r="C51" s="124"/>
      <c r="D51" s="185"/>
      <c r="E51" s="128"/>
      <c r="F51" s="126"/>
      <c r="G51" s="129"/>
      <c r="H51" s="130"/>
      <c r="I51" s="128"/>
      <c r="J51" s="126"/>
      <c r="K51" s="129"/>
      <c r="L51" s="130"/>
      <c r="M51" s="128"/>
      <c r="N51" s="126"/>
      <c r="O51" s="129"/>
      <c r="P51" s="130"/>
      <c r="Q51" s="80"/>
      <c r="R51" s="81"/>
      <c r="S51" s="17"/>
      <c r="T51" s="17"/>
      <c r="U51" s="17"/>
      <c r="V51" s="17"/>
      <c r="W51" s="19"/>
    </row>
    <row r="52" spans="1:23" ht="14.25" customHeight="1" x14ac:dyDescent="0.15">
      <c r="A52" s="42"/>
      <c r="B52" s="43">
        <v>5</v>
      </c>
      <c r="C52" s="124"/>
      <c r="D52" s="185"/>
      <c r="E52" s="128"/>
      <c r="F52" s="126"/>
      <c r="G52" s="129"/>
      <c r="H52" s="130"/>
      <c r="I52" s="128"/>
      <c r="J52" s="126"/>
      <c r="K52" s="129"/>
      <c r="L52" s="130"/>
      <c r="M52" s="128"/>
      <c r="N52" s="126"/>
      <c r="O52" s="129"/>
      <c r="P52" s="130"/>
      <c r="Q52" s="80"/>
      <c r="R52" s="81"/>
      <c r="S52" s="17"/>
      <c r="T52" s="17"/>
      <c r="U52" s="17"/>
      <c r="V52" s="17"/>
      <c r="W52" s="19"/>
    </row>
    <row r="53" spans="1:23" ht="14.25" customHeight="1" x14ac:dyDescent="0.15">
      <c r="A53" s="42"/>
      <c r="B53" s="43">
        <v>6</v>
      </c>
      <c r="C53" s="124"/>
      <c r="D53" s="185"/>
      <c r="E53" s="128"/>
      <c r="F53" s="126"/>
      <c r="G53" s="129"/>
      <c r="H53" s="130"/>
      <c r="I53" s="128"/>
      <c r="J53" s="126"/>
      <c r="K53" s="129"/>
      <c r="L53" s="130"/>
      <c r="M53" s="128"/>
      <c r="N53" s="126"/>
      <c r="O53" s="129"/>
      <c r="P53" s="130"/>
      <c r="Q53" s="80"/>
      <c r="R53" s="81"/>
      <c r="S53" s="17"/>
      <c r="T53" s="17"/>
      <c r="U53" s="17"/>
      <c r="V53" s="17"/>
      <c r="W53" s="19"/>
    </row>
    <row r="54" spans="1:23" ht="14.25" customHeight="1" x14ac:dyDescent="0.15">
      <c r="A54" s="42"/>
      <c r="B54" s="43">
        <v>7</v>
      </c>
      <c r="C54" s="124"/>
      <c r="D54" s="186"/>
      <c r="E54" s="128"/>
      <c r="F54" s="126"/>
      <c r="G54" s="129"/>
      <c r="H54" s="130"/>
      <c r="I54" s="128"/>
      <c r="J54" s="126"/>
      <c r="K54" s="129"/>
      <c r="L54" s="130"/>
      <c r="M54" s="128"/>
      <c r="N54" s="126"/>
      <c r="O54" s="129"/>
      <c r="P54" s="130"/>
      <c r="Q54" s="80"/>
      <c r="R54" s="81"/>
      <c r="S54" s="17"/>
      <c r="T54" s="17"/>
      <c r="U54" s="17"/>
      <c r="V54" s="17"/>
      <c r="W54" s="19"/>
    </row>
    <row r="55" spans="1:23" ht="14.25" customHeight="1" x14ac:dyDescent="0.15">
      <c r="A55" s="42"/>
      <c r="B55" s="43">
        <v>8</v>
      </c>
      <c r="C55" s="124"/>
      <c r="D55" s="186"/>
      <c r="E55" s="128"/>
      <c r="F55" s="126"/>
      <c r="G55" s="129"/>
      <c r="H55" s="130"/>
      <c r="I55" s="128"/>
      <c r="J55" s="126"/>
      <c r="K55" s="129"/>
      <c r="L55" s="130"/>
      <c r="M55" s="128"/>
      <c r="N55" s="126"/>
      <c r="O55" s="129"/>
      <c r="P55" s="130"/>
      <c r="Q55" s="80"/>
      <c r="R55" s="81"/>
      <c r="S55" s="17"/>
      <c r="T55" s="17"/>
      <c r="U55" s="17"/>
      <c r="V55" s="17"/>
      <c r="W55" s="19"/>
    </row>
    <row r="56" spans="1:23" ht="14.25" customHeight="1" x14ac:dyDescent="0.15">
      <c r="A56" s="42"/>
      <c r="B56" s="43">
        <v>9</v>
      </c>
      <c r="C56" s="132"/>
      <c r="D56" s="131"/>
      <c r="E56" s="128"/>
      <c r="F56" s="126"/>
      <c r="G56" s="129"/>
      <c r="H56" s="130"/>
      <c r="I56" s="128"/>
      <c r="J56" s="126"/>
      <c r="K56" s="129"/>
      <c r="L56" s="130"/>
      <c r="M56" s="128"/>
      <c r="N56" s="126"/>
      <c r="O56" s="129"/>
      <c r="P56" s="130"/>
      <c r="Q56" s="129"/>
      <c r="R56" s="133"/>
      <c r="S56" s="17"/>
      <c r="T56" s="17"/>
      <c r="U56" s="17"/>
      <c r="V56" s="17"/>
      <c r="W56" s="19"/>
    </row>
    <row r="57" spans="1:23" ht="14.25" customHeight="1" x14ac:dyDescent="0.15">
      <c r="A57" s="42"/>
      <c r="B57" s="198">
        <v>10</v>
      </c>
      <c r="C57" s="199"/>
      <c r="D57" s="200"/>
      <c r="E57" s="128"/>
      <c r="F57" s="126"/>
      <c r="G57" s="134"/>
      <c r="H57" s="135"/>
      <c r="I57" s="128"/>
      <c r="J57" s="126"/>
      <c r="K57" s="134"/>
      <c r="L57" s="135"/>
      <c r="M57" s="128"/>
      <c r="N57" s="126"/>
      <c r="O57" s="134"/>
      <c r="P57" s="135"/>
      <c r="Q57" s="134"/>
      <c r="R57" s="136"/>
      <c r="S57" s="17"/>
      <c r="T57" s="17"/>
      <c r="U57" s="17"/>
      <c r="V57" s="17"/>
      <c r="W57" s="19"/>
    </row>
    <row r="58" spans="1:23" ht="14.25" customHeight="1" x14ac:dyDescent="0.15">
      <c r="A58" s="137"/>
      <c r="B58" s="138"/>
      <c r="C58" s="138"/>
      <c r="D58" s="139" t="s">
        <v>47</v>
      </c>
      <c r="E58" s="95" t="e">
        <f>AVERAGE(E48:E57)</f>
        <v>#DIV/0!</v>
      </c>
      <c r="F58" s="99" t="e">
        <f t="shared" ref="F58:R58" si="12">AVERAGE(F48:F57)</f>
        <v>#DIV/0!</v>
      </c>
      <c r="G58" s="95" t="e">
        <f t="shared" si="12"/>
        <v>#DIV/0!</v>
      </c>
      <c r="H58" s="96" t="e">
        <f t="shared" si="12"/>
        <v>#DIV/0!</v>
      </c>
      <c r="I58" s="99" t="e">
        <f t="shared" si="12"/>
        <v>#DIV/0!</v>
      </c>
      <c r="J58" s="99" t="e">
        <f t="shared" si="12"/>
        <v>#DIV/0!</v>
      </c>
      <c r="K58" s="95" t="e">
        <f t="shared" si="12"/>
        <v>#DIV/0!</v>
      </c>
      <c r="L58" s="96" t="e">
        <f t="shared" si="12"/>
        <v>#DIV/0!</v>
      </c>
      <c r="M58" s="99" t="e">
        <f>AVERAGE(M48:M57)</f>
        <v>#DIV/0!</v>
      </c>
      <c r="N58" s="99" t="e">
        <f>AVERAGE(N48:N57)</f>
        <v>#DIV/0!</v>
      </c>
      <c r="O58" s="95" t="e">
        <f t="shared" si="12"/>
        <v>#DIV/0!</v>
      </c>
      <c r="P58" s="96" t="e">
        <f t="shared" si="12"/>
        <v>#DIV/0!</v>
      </c>
      <c r="Q58" s="99" t="e">
        <f t="shared" si="12"/>
        <v>#DIV/0!</v>
      </c>
      <c r="R58" s="96" t="e">
        <f t="shared" si="12"/>
        <v>#DIV/0!</v>
      </c>
      <c r="S58" s="17"/>
      <c r="T58" s="17"/>
      <c r="U58" s="17"/>
      <c r="V58" s="17"/>
      <c r="W58" s="19"/>
    </row>
    <row r="59" spans="1:23" ht="14.25" customHeight="1" x14ac:dyDescent="0.15">
      <c r="A59" s="140"/>
      <c r="B59" s="141"/>
      <c r="C59" s="141"/>
      <c r="D59" s="142" t="s">
        <v>48</v>
      </c>
      <c r="E59" s="101" t="e">
        <f>STDEV(E48:E57)/SQRT(COUNT(E48:E57))</f>
        <v>#DIV/0!</v>
      </c>
      <c r="F59" s="103" t="e">
        <f t="shared" ref="F59:R59" si="13">STDEV(F48:F57)/SQRT(COUNT(F48:F57))</f>
        <v>#DIV/0!</v>
      </c>
      <c r="G59" s="101" t="e">
        <f t="shared" si="13"/>
        <v>#DIV/0!</v>
      </c>
      <c r="H59" s="102" t="e">
        <f t="shared" si="13"/>
        <v>#DIV/0!</v>
      </c>
      <c r="I59" s="103" t="e">
        <f t="shared" si="13"/>
        <v>#DIV/0!</v>
      </c>
      <c r="J59" s="103" t="e">
        <f t="shared" si="13"/>
        <v>#DIV/0!</v>
      </c>
      <c r="K59" s="101" t="e">
        <f t="shared" si="13"/>
        <v>#DIV/0!</v>
      </c>
      <c r="L59" s="102" t="e">
        <f t="shared" si="13"/>
        <v>#DIV/0!</v>
      </c>
      <c r="M59" s="103" t="e">
        <f>STDEV(M48:M57)/SQRT(COUNT(M48:M57))</f>
        <v>#DIV/0!</v>
      </c>
      <c r="N59" s="103" t="e">
        <f>STDEV(N48:N57)/SQRT(COUNT(N48:N57))</f>
        <v>#DIV/0!</v>
      </c>
      <c r="O59" s="101" t="e">
        <f t="shared" si="13"/>
        <v>#DIV/0!</v>
      </c>
      <c r="P59" s="102" t="e">
        <f t="shared" si="13"/>
        <v>#DIV/0!</v>
      </c>
      <c r="Q59" s="103" t="e">
        <f t="shared" si="13"/>
        <v>#DIV/0!</v>
      </c>
      <c r="R59" s="102" t="e">
        <f t="shared" si="13"/>
        <v>#DIV/0!</v>
      </c>
      <c r="S59" s="17"/>
      <c r="T59" s="17"/>
      <c r="U59" s="17"/>
      <c r="V59" s="17"/>
      <c r="W59" s="19"/>
    </row>
    <row r="60" spans="1:23" ht="14.25" customHeight="1" x14ac:dyDescent="0.15">
      <c r="A60" s="52" t="s">
        <v>64</v>
      </c>
      <c r="B60" s="53">
        <v>1</v>
      </c>
      <c r="C60" s="143"/>
      <c r="D60" s="187"/>
      <c r="E60" s="125"/>
      <c r="F60" s="126"/>
      <c r="G60" s="125"/>
      <c r="H60" s="127"/>
      <c r="I60" s="128"/>
      <c r="J60" s="126"/>
      <c r="K60" s="125"/>
      <c r="L60" s="127"/>
      <c r="M60" s="128"/>
      <c r="N60" s="126"/>
      <c r="O60" s="125"/>
      <c r="P60" s="127"/>
      <c r="Q60" s="80"/>
      <c r="R60" s="81"/>
      <c r="S60" s="17"/>
      <c r="T60" s="17"/>
      <c r="U60" s="17"/>
      <c r="V60" s="17"/>
      <c r="W60" s="19"/>
    </row>
    <row r="61" spans="1:23" ht="14.25" customHeight="1" x14ac:dyDescent="0.15">
      <c r="A61" s="209"/>
      <c r="B61" s="54">
        <v>2</v>
      </c>
      <c r="C61" s="143"/>
      <c r="D61" s="187"/>
      <c r="E61" s="129"/>
      <c r="F61" s="126"/>
      <c r="G61" s="129"/>
      <c r="H61" s="130"/>
      <c r="I61" s="128"/>
      <c r="J61" s="126"/>
      <c r="K61" s="129"/>
      <c r="L61" s="130"/>
      <c r="M61" s="128"/>
      <c r="N61" s="126"/>
      <c r="O61" s="129"/>
      <c r="P61" s="130"/>
      <c r="Q61" s="80"/>
      <c r="R61" s="81"/>
      <c r="S61" s="17"/>
      <c r="T61" s="17"/>
      <c r="U61" s="17"/>
      <c r="V61" s="17"/>
      <c r="W61" s="19"/>
    </row>
    <row r="62" spans="1:23" ht="14.25" customHeight="1" x14ac:dyDescent="0.15">
      <c r="A62" s="209"/>
      <c r="B62" s="56">
        <v>3</v>
      </c>
      <c r="C62" s="143"/>
      <c r="D62" s="188"/>
      <c r="E62" s="128"/>
      <c r="F62" s="126"/>
      <c r="G62" s="129"/>
      <c r="H62" s="130"/>
      <c r="I62" s="128"/>
      <c r="J62" s="126"/>
      <c r="K62" s="129"/>
      <c r="L62" s="130"/>
      <c r="M62" s="128"/>
      <c r="N62" s="126"/>
      <c r="O62" s="129"/>
      <c r="P62" s="130"/>
      <c r="Q62" s="80"/>
      <c r="R62" s="81"/>
      <c r="S62" s="17"/>
      <c r="T62" s="17"/>
      <c r="U62" s="17"/>
      <c r="V62" s="17"/>
      <c r="W62" s="19"/>
    </row>
    <row r="63" spans="1:23" ht="14.25" customHeight="1" x14ac:dyDescent="0.15">
      <c r="A63" s="55"/>
      <c r="B63" s="56">
        <v>4</v>
      </c>
      <c r="C63" s="143"/>
      <c r="D63" s="188"/>
      <c r="E63" s="128"/>
      <c r="F63" s="126"/>
      <c r="G63" s="129"/>
      <c r="H63" s="130"/>
      <c r="I63" s="128"/>
      <c r="J63" s="126"/>
      <c r="K63" s="129"/>
      <c r="L63" s="130"/>
      <c r="M63" s="128"/>
      <c r="N63" s="126"/>
      <c r="O63" s="129"/>
      <c r="P63" s="130"/>
      <c r="Q63" s="80"/>
      <c r="R63" s="81"/>
      <c r="S63" s="17"/>
      <c r="T63" s="17"/>
      <c r="U63" s="17"/>
      <c r="V63" s="17"/>
      <c r="W63" s="19"/>
    </row>
    <row r="64" spans="1:23" ht="14.25" customHeight="1" x14ac:dyDescent="0.15">
      <c r="A64" s="55"/>
      <c r="B64" s="56">
        <v>5</v>
      </c>
      <c r="C64" s="143"/>
      <c r="D64" s="188"/>
      <c r="E64" s="128"/>
      <c r="F64" s="126"/>
      <c r="G64" s="129"/>
      <c r="H64" s="130"/>
      <c r="I64" s="128"/>
      <c r="J64" s="126"/>
      <c r="K64" s="129"/>
      <c r="L64" s="130"/>
      <c r="M64" s="128"/>
      <c r="N64" s="126"/>
      <c r="O64" s="129"/>
      <c r="P64" s="130"/>
      <c r="Q64" s="80"/>
      <c r="R64" s="81"/>
      <c r="S64" s="17"/>
      <c r="T64" s="17"/>
      <c r="U64" s="17"/>
      <c r="V64" s="17"/>
      <c r="W64" s="19"/>
    </row>
    <row r="65" spans="1:23" ht="14.25" customHeight="1" x14ac:dyDescent="0.15">
      <c r="A65" s="55"/>
      <c r="B65" s="56">
        <v>6</v>
      </c>
      <c r="C65" s="143"/>
      <c r="D65" s="188"/>
      <c r="E65" s="128"/>
      <c r="F65" s="126"/>
      <c r="G65" s="129"/>
      <c r="H65" s="130"/>
      <c r="I65" s="128"/>
      <c r="J65" s="126"/>
      <c r="K65" s="129"/>
      <c r="L65" s="130"/>
      <c r="M65" s="128"/>
      <c r="N65" s="126"/>
      <c r="O65" s="129"/>
      <c r="P65" s="130"/>
      <c r="Q65" s="80"/>
      <c r="R65" s="81"/>
      <c r="S65" s="17"/>
      <c r="T65" s="17"/>
      <c r="U65" s="17"/>
      <c r="V65" s="17"/>
      <c r="W65" s="19"/>
    </row>
    <row r="66" spans="1:23" ht="14.25" customHeight="1" x14ac:dyDescent="0.15">
      <c r="A66" s="55"/>
      <c r="B66" s="56">
        <v>7</v>
      </c>
      <c r="C66" s="143"/>
      <c r="D66" s="189"/>
      <c r="E66" s="128"/>
      <c r="F66" s="126"/>
      <c r="G66" s="129"/>
      <c r="H66" s="130"/>
      <c r="I66" s="128"/>
      <c r="J66" s="126"/>
      <c r="K66" s="129"/>
      <c r="L66" s="130"/>
      <c r="M66" s="128"/>
      <c r="N66" s="126"/>
      <c r="O66" s="129"/>
      <c r="P66" s="130"/>
      <c r="Q66" s="80"/>
      <c r="R66" s="81"/>
      <c r="S66" s="17"/>
      <c r="T66" s="17"/>
      <c r="U66" s="17"/>
      <c r="V66" s="17"/>
      <c r="W66" s="19"/>
    </row>
    <row r="67" spans="1:23" ht="14.25" customHeight="1" x14ac:dyDescent="0.15">
      <c r="A67" s="55"/>
      <c r="B67" s="56">
        <v>8</v>
      </c>
      <c r="C67" s="143"/>
      <c r="D67" s="189"/>
      <c r="E67" s="128"/>
      <c r="F67" s="126"/>
      <c r="G67" s="129"/>
      <c r="H67" s="130"/>
      <c r="I67" s="128"/>
      <c r="J67" s="126"/>
      <c r="K67" s="129"/>
      <c r="L67" s="130"/>
      <c r="M67" s="128"/>
      <c r="N67" s="126"/>
      <c r="O67" s="129"/>
      <c r="P67" s="130"/>
      <c r="Q67" s="129"/>
      <c r="R67" s="130"/>
      <c r="S67" s="17"/>
      <c r="T67" s="17"/>
      <c r="U67" s="17"/>
      <c r="V67" s="17"/>
      <c r="W67" s="19"/>
    </row>
    <row r="68" spans="1:23" ht="14.25" customHeight="1" x14ac:dyDescent="0.15">
      <c r="A68" s="55"/>
      <c r="B68" s="56">
        <v>9</v>
      </c>
      <c r="C68" s="145"/>
      <c r="D68" s="144"/>
      <c r="E68" s="128"/>
      <c r="F68" s="126"/>
      <c r="G68" s="129"/>
      <c r="H68" s="130"/>
      <c r="I68" s="128"/>
      <c r="J68" s="126"/>
      <c r="K68" s="129"/>
      <c r="L68" s="130"/>
      <c r="M68" s="128"/>
      <c r="N68" s="126"/>
      <c r="O68" s="129"/>
      <c r="P68" s="130"/>
      <c r="Q68" s="129"/>
      <c r="R68" s="130"/>
      <c r="S68" s="17"/>
      <c r="T68" s="17"/>
      <c r="U68" s="17"/>
      <c r="V68" s="17"/>
      <c r="W68" s="19"/>
    </row>
    <row r="69" spans="1:23" ht="14.25" customHeight="1" x14ac:dyDescent="0.15">
      <c r="A69" s="55"/>
      <c r="B69" s="201">
        <v>10</v>
      </c>
      <c r="C69" s="202"/>
      <c r="D69" s="203"/>
      <c r="E69" s="128"/>
      <c r="F69" s="126"/>
      <c r="G69" s="134"/>
      <c r="H69" s="135"/>
      <c r="I69" s="128"/>
      <c r="J69" s="126"/>
      <c r="K69" s="134"/>
      <c r="L69" s="135"/>
      <c r="M69" s="128"/>
      <c r="N69" s="126"/>
      <c r="O69" s="134"/>
      <c r="P69" s="135"/>
      <c r="Q69" s="134"/>
      <c r="R69" s="135"/>
      <c r="S69" s="17"/>
      <c r="T69" s="17"/>
      <c r="U69" s="17"/>
      <c r="V69" s="17"/>
      <c r="W69" s="19"/>
    </row>
    <row r="70" spans="1:23" ht="14.25" customHeight="1" x14ac:dyDescent="0.15">
      <c r="A70" s="146"/>
      <c r="B70" s="147"/>
      <c r="C70" s="147"/>
      <c r="D70" s="148" t="s">
        <v>47</v>
      </c>
      <c r="E70" s="95" t="e">
        <f>AVERAGE(E60:E69)</f>
        <v>#DIV/0!</v>
      </c>
      <c r="F70" s="99" t="e">
        <f t="shared" ref="F70:R70" si="14">AVERAGE(F60:F69)</f>
        <v>#DIV/0!</v>
      </c>
      <c r="G70" s="95" t="e">
        <f t="shared" si="14"/>
        <v>#DIV/0!</v>
      </c>
      <c r="H70" s="96" t="e">
        <f t="shared" si="14"/>
        <v>#DIV/0!</v>
      </c>
      <c r="I70" s="99" t="e">
        <f t="shared" si="14"/>
        <v>#DIV/0!</v>
      </c>
      <c r="J70" s="99" t="e">
        <f t="shared" si="14"/>
        <v>#DIV/0!</v>
      </c>
      <c r="K70" s="95" t="e">
        <f t="shared" si="14"/>
        <v>#DIV/0!</v>
      </c>
      <c r="L70" s="96" t="e">
        <f t="shared" si="14"/>
        <v>#DIV/0!</v>
      </c>
      <c r="M70" s="99" t="e">
        <f>AVERAGE(M60:M69)</f>
        <v>#DIV/0!</v>
      </c>
      <c r="N70" s="99" t="e">
        <f t="shared" si="14"/>
        <v>#DIV/0!</v>
      </c>
      <c r="O70" s="95" t="e">
        <f t="shared" si="14"/>
        <v>#DIV/0!</v>
      </c>
      <c r="P70" s="96" t="e">
        <f t="shared" si="14"/>
        <v>#DIV/0!</v>
      </c>
      <c r="Q70" s="99" t="e">
        <f t="shared" si="14"/>
        <v>#DIV/0!</v>
      </c>
      <c r="R70" s="96" t="e">
        <f t="shared" si="14"/>
        <v>#DIV/0!</v>
      </c>
      <c r="S70" s="17"/>
      <c r="T70" s="17"/>
      <c r="U70" s="17"/>
      <c r="V70" s="17"/>
      <c r="W70" s="19"/>
    </row>
    <row r="71" spans="1:23" ht="14.25" customHeight="1" x14ac:dyDescent="0.15">
      <c r="A71" s="149"/>
      <c r="B71" s="150"/>
      <c r="C71" s="150"/>
      <c r="D71" s="151" t="s">
        <v>48</v>
      </c>
      <c r="E71" s="101" t="e">
        <f>STDEV(E60:E69)/SQRT(COUNT(E60:E69))</f>
        <v>#DIV/0!</v>
      </c>
      <c r="F71" s="103" t="e">
        <f t="shared" ref="F71:Q71" si="15">STDEV(F60:F69)/SQRT(COUNT(F60:F69))</f>
        <v>#DIV/0!</v>
      </c>
      <c r="G71" s="101" t="e">
        <f t="shared" si="15"/>
        <v>#DIV/0!</v>
      </c>
      <c r="H71" s="102" t="e">
        <f t="shared" si="15"/>
        <v>#DIV/0!</v>
      </c>
      <c r="I71" s="103" t="e">
        <f t="shared" si="15"/>
        <v>#DIV/0!</v>
      </c>
      <c r="J71" s="103" t="e">
        <f t="shared" si="15"/>
        <v>#DIV/0!</v>
      </c>
      <c r="K71" s="101" t="e">
        <f t="shared" si="15"/>
        <v>#DIV/0!</v>
      </c>
      <c r="L71" s="102" t="e">
        <f t="shared" si="15"/>
        <v>#DIV/0!</v>
      </c>
      <c r="M71" s="103" t="e">
        <f t="shared" si="15"/>
        <v>#DIV/0!</v>
      </c>
      <c r="N71" s="103" t="e">
        <f t="shared" si="15"/>
        <v>#DIV/0!</v>
      </c>
      <c r="O71" s="101" t="e">
        <f t="shared" si="15"/>
        <v>#DIV/0!</v>
      </c>
      <c r="P71" s="102" t="e">
        <f t="shared" si="15"/>
        <v>#DIV/0!</v>
      </c>
      <c r="Q71" s="103" t="e">
        <f t="shared" si="15"/>
        <v>#DIV/0!</v>
      </c>
      <c r="R71" s="102" t="e">
        <f>STDEV(R60:R69)/SQRT(COUNT(R60:R69))</f>
        <v>#DIV/0!</v>
      </c>
      <c r="S71" s="17"/>
      <c r="T71" s="17"/>
      <c r="U71" s="17"/>
      <c r="V71" s="17"/>
      <c r="W71" s="19"/>
    </row>
    <row r="72" spans="1:23" ht="14.25" customHeight="1" x14ac:dyDescent="0.15">
      <c r="A72" s="152"/>
      <c r="B72" s="152"/>
      <c r="C72" s="152" t="s">
        <v>50</v>
      </c>
      <c r="D72" s="152" t="s">
        <v>51</v>
      </c>
      <c r="E72" s="153">
        <f>TTEST(E24:E33,E36:E45,2,2)</f>
        <v>7.082328070347612E-3</v>
      </c>
      <c r="F72" s="153">
        <f t="shared" ref="F72:R72" si="16">TTEST(F24:F33,F36:F45,2,2)</f>
        <v>9.4143019540252164E-3</v>
      </c>
      <c r="G72" s="153">
        <f t="shared" si="16"/>
        <v>8.8797407055461727E-2</v>
      </c>
      <c r="H72" s="153">
        <f t="shared" si="16"/>
        <v>1.088706360222088E-2</v>
      </c>
      <c r="I72" s="153">
        <f t="shared" si="16"/>
        <v>0.11914692067097483</v>
      </c>
      <c r="J72" s="153">
        <f t="shared" si="16"/>
        <v>0.18128550442349781</v>
      </c>
      <c r="K72" s="153">
        <f t="shared" si="16"/>
        <v>0.12123638095055968</v>
      </c>
      <c r="L72" s="153">
        <f t="shared" si="16"/>
        <v>0.20560174566719353</v>
      </c>
      <c r="M72" s="153">
        <f t="shared" si="16"/>
        <v>0.13041011267289457</v>
      </c>
      <c r="N72" s="153">
        <f t="shared" si="16"/>
        <v>0.13033578817787334</v>
      </c>
      <c r="O72" s="153">
        <f t="shared" si="16"/>
        <v>0.25223954355814032</v>
      </c>
      <c r="P72" s="153">
        <f t="shared" si="16"/>
        <v>7.1006383871392367E-3</v>
      </c>
      <c r="Q72" s="153">
        <f t="shared" si="16"/>
        <v>2.1731413946179515E-2</v>
      </c>
      <c r="R72" s="153">
        <f t="shared" si="16"/>
        <v>8.3395251455096499E-3</v>
      </c>
      <c r="S72" s="17"/>
      <c r="T72" s="17"/>
      <c r="U72" s="17"/>
      <c r="V72" s="17"/>
      <c r="W72" s="19"/>
    </row>
    <row r="73" spans="1:23" ht="14.25" customHeight="1" x14ac:dyDescent="0.15">
      <c r="A73" s="152"/>
      <c r="B73" s="152"/>
      <c r="C73" s="152"/>
      <c r="D73" s="152" t="s">
        <v>59</v>
      </c>
      <c r="E73" s="153" t="e">
        <f>TTEST(E24:E33,E48:E57,2,2)</f>
        <v>#DIV/0!</v>
      </c>
      <c r="F73" s="153" t="e">
        <f t="shared" ref="F73:R73" si="17">TTEST(F24:F33,F48:F57,2,2)</f>
        <v>#DIV/0!</v>
      </c>
      <c r="G73" s="153" t="e">
        <f t="shared" si="17"/>
        <v>#DIV/0!</v>
      </c>
      <c r="H73" s="153" t="e">
        <f t="shared" si="17"/>
        <v>#DIV/0!</v>
      </c>
      <c r="I73" s="153" t="e">
        <f t="shared" si="17"/>
        <v>#DIV/0!</v>
      </c>
      <c r="J73" s="153" t="e">
        <f t="shared" si="17"/>
        <v>#DIV/0!</v>
      </c>
      <c r="K73" s="153" t="e">
        <f t="shared" si="17"/>
        <v>#DIV/0!</v>
      </c>
      <c r="L73" s="153" t="e">
        <f t="shared" si="17"/>
        <v>#DIV/0!</v>
      </c>
      <c r="M73" s="153" t="e">
        <f t="shared" si="17"/>
        <v>#DIV/0!</v>
      </c>
      <c r="N73" s="153" t="e">
        <f t="shared" si="17"/>
        <v>#DIV/0!</v>
      </c>
      <c r="O73" s="153" t="e">
        <f t="shared" si="17"/>
        <v>#DIV/0!</v>
      </c>
      <c r="P73" s="153" t="e">
        <f t="shared" si="17"/>
        <v>#DIV/0!</v>
      </c>
      <c r="Q73" s="153" t="e">
        <f t="shared" si="17"/>
        <v>#DIV/0!</v>
      </c>
      <c r="R73" s="153" t="e">
        <f t="shared" si="17"/>
        <v>#DIV/0!</v>
      </c>
      <c r="S73" s="17"/>
      <c r="T73" s="17"/>
      <c r="U73" s="17"/>
      <c r="V73" s="17"/>
      <c r="W73" s="19"/>
    </row>
    <row r="74" spans="1:23" ht="14.25" customHeight="1" x14ac:dyDescent="0.15">
      <c r="A74" s="152"/>
      <c r="B74" s="152"/>
      <c r="C74" s="152"/>
      <c r="D74" s="152" t="s">
        <v>65</v>
      </c>
      <c r="E74" s="153" t="e">
        <f>TTEST(E24:E33,E60:E69,2,2)</f>
        <v>#DIV/0!</v>
      </c>
      <c r="F74" s="153" t="e">
        <f t="shared" ref="F74:R74" si="18">TTEST(F24:F33,F60:F69,2,2)</f>
        <v>#DIV/0!</v>
      </c>
      <c r="G74" s="153" t="e">
        <f t="shared" si="18"/>
        <v>#DIV/0!</v>
      </c>
      <c r="H74" s="153" t="e">
        <f t="shared" si="18"/>
        <v>#DIV/0!</v>
      </c>
      <c r="I74" s="153" t="e">
        <f t="shared" si="18"/>
        <v>#DIV/0!</v>
      </c>
      <c r="J74" s="153" t="e">
        <f t="shared" si="18"/>
        <v>#DIV/0!</v>
      </c>
      <c r="K74" s="153" t="e">
        <f t="shared" si="18"/>
        <v>#DIV/0!</v>
      </c>
      <c r="L74" s="153" t="e">
        <f t="shared" si="18"/>
        <v>#DIV/0!</v>
      </c>
      <c r="M74" s="153" t="e">
        <f t="shared" si="18"/>
        <v>#DIV/0!</v>
      </c>
      <c r="N74" s="153" t="e">
        <f t="shared" si="18"/>
        <v>#DIV/0!</v>
      </c>
      <c r="O74" s="153" t="e">
        <f t="shared" si="18"/>
        <v>#DIV/0!</v>
      </c>
      <c r="P74" s="153" t="e">
        <f t="shared" si="18"/>
        <v>#DIV/0!</v>
      </c>
      <c r="Q74" s="153" t="e">
        <f t="shared" si="18"/>
        <v>#DIV/0!</v>
      </c>
      <c r="R74" s="153" t="e">
        <f t="shared" si="18"/>
        <v>#DIV/0!</v>
      </c>
      <c r="S74" s="17"/>
      <c r="T74" s="17"/>
      <c r="U74" s="17"/>
      <c r="V74" s="17"/>
      <c r="W74" s="19"/>
    </row>
    <row r="75" spans="1:23" ht="14.25" customHeight="1" x14ac:dyDescent="0.15">
      <c r="A75" s="152"/>
      <c r="B75" s="152"/>
      <c r="C75" s="152"/>
      <c r="D75" s="152" t="s">
        <v>60</v>
      </c>
      <c r="E75" s="153" t="e">
        <f>TTEST(E36:E45,E48:E57,2,2)</f>
        <v>#DIV/0!</v>
      </c>
      <c r="F75" s="153" t="e">
        <f t="shared" ref="F75:R75" si="19">TTEST(F36:F45,F48:F57,2,2)</f>
        <v>#DIV/0!</v>
      </c>
      <c r="G75" s="153" t="e">
        <f t="shared" si="19"/>
        <v>#DIV/0!</v>
      </c>
      <c r="H75" s="153" t="e">
        <f t="shared" si="19"/>
        <v>#DIV/0!</v>
      </c>
      <c r="I75" s="153" t="e">
        <f t="shared" si="19"/>
        <v>#DIV/0!</v>
      </c>
      <c r="J75" s="153" t="e">
        <f t="shared" si="19"/>
        <v>#DIV/0!</v>
      </c>
      <c r="K75" s="153" t="e">
        <f t="shared" si="19"/>
        <v>#DIV/0!</v>
      </c>
      <c r="L75" s="153" t="e">
        <f t="shared" si="19"/>
        <v>#DIV/0!</v>
      </c>
      <c r="M75" s="153" t="e">
        <f t="shared" si="19"/>
        <v>#DIV/0!</v>
      </c>
      <c r="N75" s="153" t="e">
        <f t="shared" si="19"/>
        <v>#DIV/0!</v>
      </c>
      <c r="O75" s="153" t="e">
        <f t="shared" si="19"/>
        <v>#DIV/0!</v>
      </c>
      <c r="P75" s="153" t="e">
        <f t="shared" si="19"/>
        <v>#DIV/0!</v>
      </c>
      <c r="Q75" s="153" t="e">
        <f t="shared" si="19"/>
        <v>#DIV/0!</v>
      </c>
      <c r="R75" s="153" t="e">
        <f t="shared" si="19"/>
        <v>#DIV/0!</v>
      </c>
      <c r="S75" s="17"/>
      <c r="T75" s="17"/>
      <c r="U75" s="17"/>
      <c r="V75" s="17"/>
      <c r="W75" s="19"/>
    </row>
    <row r="76" spans="1:23" ht="14.25" customHeight="1" x14ac:dyDescent="0.15">
      <c r="A76" s="152"/>
      <c r="B76" s="152"/>
      <c r="C76" s="152"/>
      <c r="D76" s="152" t="s">
        <v>66</v>
      </c>
      <c r="E76" s="153" t="e">
        <f>TTEST(E36:E45,E60:E69,2,2)</f>
        <v>#DIV/0!</v>
      </c>
      <c r="F76" s="153" t="e">
        <f t="shared" ref="F76:R76" si="20">TTEST(F36:F45,F60:F69,2,2)</f>
        <v>#DIV/0!</v>
      </c>
      <c r="G76" s="153" t="e">
        <f t="shared" si="20"/>
        <v>#DIV/0!</v>
      </c>
      <c r="H76" s="153" t="e">
        <f t="shared" si="20"/>
        <v>#DIV/0!</v>
      </c>
      <c r="I76" s="153" t="e">
        <f t="shared" si="20"/>
        <v>#DIV/0!</v>
      </c>
      <c r="J76" s="153" t="e">
        <f t="shared" si="20"/>
        <v>#DIV/0!</v>
      </c>
      <c r="K76" s="153" t="e">
        <f t="shared" si="20"/>
        <v>#DIV/0!</v>
      </c>
      <c r="L76" s="153" t="e">
        <f t="shared" si="20"/>
        <v>#DIV/0!</v>
      </c>
      <c r="M76" s="153" t="e">
        <f t="shared" si="20"/>
        <v>#DIV/0!</v>
      </c>
      <c r="N76" s="153" t="e">
        <f t="shared" si="20"/>
        <v>#DIV/0!</v>
      </c>
      <c r="O76" s="153" t="e">
        <f t="shared" si="20"/>
        <v>#DIV/0!</v>
      </c>
      <c r="P76" s="153" t="e">
        <f t="shared" si="20"/>
        <v>#DIV/0!</v>
      </c>
      <c r="Q76" s="153" t="e">
        <f t="shared" si="20"/>
        <v>#DIV/0!</v>
      </c>
      <c r="R76" s="153" t="e">
        <f t="shared" si="20"/>
        <v>#DIV/0!</v>
      </c>
      <c r="S76" s="17"/>
      <c r="T76" s="17"/>
      <c r="U76" s="17"/>
      <c r="V76" s="17"/>
      <c r="W76" s="19"/>
    </row>
    <row r="77" spans="1:23" ht="14.25" customHeight="1" x14ac:dyDescent="0.15">
      <c r="A77" s="152"/>
      <c r="B77" s="152"/>
      <c r="C77" s="152"/>
      <c r="D77" s="152" t="s">
        <v>67</v>
      </c>
      <c r="E77" s="153" t="e">
        <f>TTEST(E48:E57,E60:E69,2,2)</f>
        <v>#DIV/0!</v>
      </c>
      <c r="F77" s="153" t="e">
        <f t="shared" ref="F77:R77" si="21">TTEST(F48:F57,F60:F69,2,2)</f>
        <v>#DIV/0!</v>
      </c>
      <c r="G77" s="153" t="e">
        <f t="shared" si="21"/>
        <v>#DIV/0!</v>
      </c>
      <c r="H77" s="153" t="e">
        <f t="shared" si="21"/>
        <v>#DIV/0!</v>
      </c>
      <c r="I77" s="153" t="e">
        <f t="shared" si="21"/>
        <v>#DIV/0!</v>
      </c>
      <c r="J77" s="153" t="e">
        <f t="shared" si="21"/>
        <v>#DIV/0!</v>
      </c>
      <c r="K77" s="153" t="e">
        <f t="shared" si="21"/>
        <v>#DIV/0!</v>
      </c>
      <c r="L77" s="153" t="e">
        <f t="shared" si="21"/>
        <v>#DIV/0!</v>
      </c>
      <c r="M77" s="153" t="e">
        <f t="shared" si="21"/>
        <v>#DIV/0!</v>
      </c>
      <c r="N77" s="153" t="e">
        <f t="shared" si="21"/>
        <v>#DIV/0!</v>
      </c>
      <c r="O77" s="153" t="e">
        <f t="shared" si="21"/>
        <v>#DIV/0!</v>
      </c>
      <c r="P77" s="153" t="e">
        <f t="shared" si="21"/>
        <v>#DIV/0!</v>
      </c>
      <c r="Q77" s="153" t="e">
        <f t="shared" si="21"/>
        <v>#DIV/0!</v>
      </c>
      <c r="R77" s="153" t="e">
        <f t="shared" si="21"/>
        <v>#DIV/0!</v>
      </c>
      <c r="S77" s="17"/>
      <c r="T77" s="17"/>
      <c r="U77" s="17"/>
      <c r="V77" s="17"/>
      <c r="W77" s="19"/>
    </row>
    <row r="78" spans="1:23" ht="14.25" customHeight="1" x14ac:dyDescent="0.15">
      <c r="A78" s="29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5"/>
    </row>
  </sheetData>
  <sheetProtection algorithmName="SHA-512" hashValue="5d1DUXmpg6Si/y3krpuLqQNUrrZPelAi6gzCR19c5roZpUnfS6BVnC7btr2F/SBWCkmV9rgwKzx54UZDqefJ8w==" saltValue="ZP+jvkH+0Fxnguxd9CCgAg==" spinCount="100000" sheet="1" objects="1" scenarios="1"/>
  <mergeCells count="15">
    <mergeCell ref="A25:A26"/>
    <mergeCell ref="A37:A38"/>
    <mergeCell ref="A49:A50"/>
    <mergeCell ref="A61:A62"/>
    <mergeCell ref="O2:W2"/>
    <mergeCell ref="H2:N2"/>
    <mergeCell ref="A2:G2"/>
    <mergeCell ref="G21:H21"/>
    <mergeCell ref="E21:F21"/>
    <mergeCell ref="Q21:R21"/>
    <mergeCell ref="O21:P21"/>
    <mergeCell ref="M21:N21"/>
    <mergeCell ref="K21:L21"/>
    <mergeCell ref="I21:J21"/>
    <mergeCell ref="A19:D20"/>
  </mergeCells>
  <conditionalFormatting sqref="E72:R77">
    <cfRule type="cellIs" dxfId="8" priority="1" operator="lessThan">
      <formula>0.05</formula>
    </cfRule>
    <cfRule type="cellIs" dxfId="7" priority="2" operator="lessThan">
      <formula>0.05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2"/>
  <sheetViews>
    <sheetView zoomScaleNormal="100" workbookViewId="0">
      <selection activeCell="A4" sqref="A4"/>
    </sheetView>
  </sheetViews>
  <sheetFormatPr baseColWidth="10" defaultColWidth="9" defaultRowHeight="14" x14ac:dyDescent="0.15"/>
  <cols>
    <col min="1" max="16384" width="9" style="2"/>
  </cols>
  <sheetData>
    <row r="1" spans="1:23" ht="14.25" customHeight="1" x14ac:dyDescent="0.1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/>
    </row>
    <row r="2" spans="1:23" ht="14.25" customHeight="1" x14ac:dyDescent="0.15">
      <c r="A2" s="72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9"/>
    </row>
    <row r="3" spans="1:23" ht="14.25" customHeight="1" x14ac:dyDescent="0.15">
      <c r="A3" s="72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9"/>
    </row>
    <row r="4" spans="1:23" ht="14.25" customHeight="1" x14ac:dyDescent="0.2">
      <c r="A4" s="14"/>
      <c r="B4" s="15"/>
      <c r="C4" s="15"/>
      <c r="D4" s="16"/>
      <c r="E4" s="17"/>
      <c r="F4" s="17"/>
      <c r="G4" s="18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9"/>
    </row>
    <row r="5" spans="1:23" ht="14.25" customHeight="1" x14ac:dyDescent="0.15">
      <c r="A5" s="20"/>
      <c r="B5" s="21"/>
      <c r="C5" s="21"/>
      <c r="D5" s="22"/>
      <c r="E5" s="213" t="s">
        <v>32</v>
      </c>
      <c r="F5" s="214"/>
      <c r="G5" s="213" t="s">
        <v>33</v>
      </c>
      <c r="H5" s="214"/>
      <c r="I5" s="213" t="s">
        <v>34</v>
      </c>
      <c r="J5" s="214"/>
      <c r="K5" s="213" t="s">
        <v>35</v>
      </c>
      <c r="L5" s="214"/>
      <c r="M5" s="213" t="s">
        <v>36</v>
      </c>
      <c r="N5" s="214"/>
      <c r="O5" s="213" t="s">
        <v>37</v>
      </c>
      <c r="P5" s="214"/>
      <c r="Q5" s="213" t="s">
        <v>38</v>
      </c>
      <c r="R5" s="214"/>
      <c r="S5" s="17"/>
      <c r="T5" s="17"/>
      <c r="U5" s="17"/>
      <c r="V5" s="17"/>
      <c r="W5" s="19"/>
    </row>
    <row r="6" spans="1:23" ht="14.25" customHeight="1" x14ac:dyDescent="0.15">
      <c r="A6" s="23"/>
      <c r="B6" s="24"/>
      <c r="C6" s="24"/>
      <c r="D6" s="25"/>
      <c r="E6" s="26" t="s">
        <v>39</v>
      </c>
      <c r="F6" s="46" t="s">
        <v>40</v>
      </c>
      <c r="G6" s="26" t="s">
        <v>39</v>
      </c>
      <c r="H6" s="47" t="s">
        <v>40</v>
      </c>
      <c r="I6" s="48" t="s">
        <v>39</v>
      </c>
      <c r="J6" s="46" t="s">
        <v>40</v>
      </c>
      <c r="K6" s="26" t="s">
        <v>39</v>
      </c>
      <c r="L6" s="47" t="s">
        <v>40</v>
      </c>
      <c r="M6" s="26" t="s">
        <v>39</v>
      </c>
      <c r="N6" s="47" t="s">
        <v>40</v>
      </c>
      <c r="O6" s="26" t="s">
        <v>39</v>
      </c>
      <c r="P6" s="47" t="s">
        <v>40</v>
      </c>
      <c r="Q6" s="26" t="s">
        <v>39</v>
      </c>
      <c r="R6" s="47" t="s">
        <v>40</v>
      </c>
      <c r="S6" s="17"/>
      <c r="T6" s="17"/>
      <c r="U6" s="17"/>
      <c r="V6" s="17"/>
      <c r="W6" s="19"/>
    </row>
    <row r="7" spans="1:23" ht="14.25" customHeight="1" x14ac:dyDescent="0.15">
      <c r="A7" s="29"/>
      <c r="B7" s="30" t="s">
        <v>41</v>
      </c>
      <c r="C7" s="30" t="s">
        <v>42</v>
      </c>
      <c r="D7" s="31" t="s">
        <v>43</v>
      </c>
      <c r="E7" s="32" t="s">
        <v>44</v>
      </c>
      <c r="F7" s="33" t="s">
        <v>45</v>
      </c>
      <c r="G7" s="32" t="s">
        <v>44</v>
      </c>
      <c r="H7" s="32" t="s">
        <v>45</v>
      </c>
      <c r="I7" s="49" t="s">
        <v>44</v>
      </c>
      <c r="J7" s="33" t="s">
        <v>45</v>
      </c>
      <c r="K7" s="32" t="s">
        <v>44</v>
      </c>
      <c r="L7" s="32" t="s">
        <v>45</v>
      </c>
      <c r="M7" s="32" t="s">
        <v>44</v>
      </c>
      <c r="N7" s="32" t="s">
        <v>45</v>
      </c>
      <c r="O7" s="32" t="s">
        <v>44</v>
      </c>
      <c r="P7" s="32" t="s">
        <v>45</v>
      </c>
      <c r="Q7" s="32" t="s">
        <v>44</v>
      </c>
      <c r="R7" s="32" t="s">
        <v>45</v>
      </c>
      <c r="S7" s="17"/>
      <c r="T7" s="17"/>
      <c r="U7" s="17"/>
      <c r="V7" s="17"/>
      <c r="W7" s="19"/>
    </row>
    <row r="8" spans="1:23" ht="14.25" customHeight="1" x14ac:dyDescent="0.15">
      <c r="A8" s="34" t="s">
        <v>46</v>
      </c>
      <c r="B8" s="73">
        <v>1</v>
      </c>
      <c r="C8" s="74" t="s">
        <v>85</v>
      </c>
      <c r="D8" s="181">
        <v>401</v>
      </c>
      <c r="E8" s="75">
        <v>6.5777099999999997</v>
      </c>
      <c r="F8" s="76">
        <v>23</v>
      </c>
      <c r="G8" s="75">
        <v>5.9221599999999999</v>
      </c>
      <c r="H8" s="76">
        <v>22</v>
      </c>
      <c r="I8" s="77">
        <v>15.2776</v>
      </c>
      <c r="J8" s="78">
        <v>19</v>
      </c>
      <c r="K8" s="75">
        <v>15.010999999999999</v>
      </c>
      <c r="L8" s="76">
        <v>21</v>
      </c>
      <c r="M8" s="77">
        <v>16.282599999999999</v>
      </c>
      <c r="N8" s="78">
        <v>20</v>
      </c>
      <c r="O8" s="75">
        <v>18.683700000000002</v>
      </c>
      <c r="P8" s="76">
        <v>26</v>
      </c>
      <c r="Q8" s="77">
        <f>AVERAGE(E8,G8,I8,K8,M8,O8)</f>
        <v>12.959128333333334</v>
      </c>
      <c r="R8" s="76">
        <f>SUM(F8,H8,J8,L8,N8,P8)</f>
        <v>131</v>
      </c>
      <c r="S8" s="17"/>
      <c r="T8" s="17"/>
      <c r="U8" s="17"/>
      <c r="V8" s="17"/>
      <c r="W8" s="19"/>
    </row>
    <row r="9" spans="1:23" ht="14.25" customHeight="1" x14ac:dyDescent="0.15">
      <c r="A9" s="206" t="s">
        <v>84</v>
      </c>
      <c r="B9" s="79">
        <v>2</v>
      </c>
      <c r="C9" s="74" t="s">
        <v>85</v>
      </c>
      <c r="D9" s="181">
        <v>402</v>
      </c>
      <c r="E9" s="80">
        <v>28.578499999999998</v>
      </c>
      <c r="F9" s="81">
        <v>30</v>
      </c>
      <c r="G9" s="80">
        <v>34.998600000000003</v>
      </c>
      <c r="H9" s="81">
        <v>30</v>
      </c>
      <c r="I9" s="82">
        <v>20.180599999999998</v>
      </c>
      <c r="J9" s="83">
        <v>18</v>
      </c>
      <c r="K9" s="80">
        <v>17.007899999999999</v>
      </c>
      <c r="L9" s="81">
        <v>19</v>
      </c>
      <c r="M9" s="82">
        <v>17.244299999999999</v>
      </c>
      <c r="N9" s="83">
        <v>13</v>
      </c>
      <c r="O9" s="80">
        <v>7.9999200000000004</v>
      </c>
      <c r="P9" s="83">
        <v>13</v>
      </c>
      <c r="Q9" s="80">
        <f t="shared" ref="Q9:Q12" si="0">AVERAGE(E9,G9,I9,K9,M9,O9)</f>
        <v>21.001636666666666</v>
      </c>
      <c r="R9" s="81">
        <f t="shared" ref="R9:R12" si="1">SUM(F9,H9,J9,L9,N9,P9)</f>
        <v>123</v>
      </c>
      <c r="S9" s="17"/>
      <c r="T9" s="17"/>
      <c r="U9" s="17"/>
      <c r="V9" s="17"/>
      <c r="W9" s="19"/>
    </row>
    <row r="10" spans="1:23" ht="14.25" customHeight="1" x14ac:dyDescent="0.15">
      <c r="A10" s="206"/>
      <c r="B10" s="79">
        <v>3</v>
      </c>
      <c r="C10" s="74" t="s">
        <v>85</v>
      </c>
      <c r="D10" s="181">
        <v>403</v>
      </c>
      <c r="E10" s="80">
        <v>23.599799999999998</v>
      </c>
      <c r="F10" s="81">
        <v>45</v>
      </c>
      <c r="G10" s="80">
        <v>19.355399999999999</v>
      </c>
      <c r="H10" s="81">
        <v>30</v>
      </c>
      <c r="I10" s="82">
        <v>18.613900000000001</v>
      </c>
      <c r="J10" s="83">
        <v>19</v>
      </c>
      <c r="K10" s="80">
        <v>21.518999999999998</v>
      </c>
      <c r="L10" s="81">
        <v>35</v>
      </c>
      <c r="M10" s="82">
        <v>15.3665</v>
      </c>
      <c r="N10" s="83">
        <v>18</v>
      </c>
      <c r="O10" s="80">
        <v>19.910900000000002</v>
      </c>
      <c r="P10" s="83">
        <v>25</v>
      </c>
      <c r="Q10" s="80">
        <f t="shared" si="0"/>
        <v>19.727583333333332</v>
      </c>
      <c r="R10" s="81">
        <f t="shared" si="1"/>
        <v>172</v>
      </c>
      <c r="S10" s="17"/>
      <c r="T10" s="17"/>
      <c r="U10" s="17"/>
      <c r="V10" s="17"/>
      <c r="W10" s="19"/>
    </row>
    <row r="11" spans="1:23" ht="14.25" customHeight="1" x14ac:dyDescent="0.15">
      <c r="A11" s="35"/>
      <c r="B11" s="79">
        <v>4</v>
      </c>
      <c r="C11" s="74" t="s">
        <v>85</v>
      </c>
      <c r="D11" s="181">
        <v>404</v>
      </c>
      <c r="E11" s="80">
        <v>13.533200000000001</v>
      </c>
      <c r="F11" s="81">
        <v>26</v>
      </c>
      <c r="G11" s="80">
        <v>30.0017</v>
      </c>
      <c r="H11" s="81">
        <v>27</v>
      </c>
      <c r="I11" s="82">
        <v>23.2867</v>
      </c>
      <c r="J11" s="83">
        <v>28</v>
      </c>
      <c r="K11" s="80">
        <v>16.837199999999999</v>
      </c>
      <c r="L11" s="81">
        <v>23</v>
      </c>
      <c r="M11" s="82">
        <v>10.106999999999999</v>
      </c>
      <c r="N11" s="83">
        <v>20</v>
      </c>
      <c r="O11" s="80">
        <v>28.188600000000001</v>
      </c>
      <c r="P11" s="83">
        <v>23</v>
      </c>
      <c r="Q11" s="80">
        <f t="shared" si="0"/>
        <v>20.325733333333332</v>
      </c>
      <c r="R11" s="81">
        <f t="shared" si="1"/>
        <v>147</v>
      </c>
      <c r="S11" s="17"/>
      <c r="T11" s="17"/>
      <c r="U11" s="17"/>
      <c r="V11" s="17"/>
      <c r="W11" s="19"/>
    </row>
    <row r="12" spans="1:23" ht="14.25" customHeight="1" x14ac:dyDescent="0.15">
      <c r="A12" s="35"/>
      <c r="B12" s="79">
        <v>5</v>
      </c>
      <c r="C12" s="74" t="s">
        <v>85</v>
      </c>
      <c r="D12" s="181">
        <v>444</v>
      </c>
      <c r="E12" s="80">
        <v>13.088800000000001</v>
      </c>
      <c r="F12" s="81">
        <v>36</v>
      </c>
      <c r="G12" s="80">
        <v>12.5443</v>
      </c>
      <c r="H12" s="81">
        <v>32</v>
      </c>
      <c r="I12" s="82">
        <v>21.5776</v>
      </c>
      <c r="J12" s="83">
        <v>31</v>
      </c>
      <c r="K12" s="80">
        <v>12.144299999999999</v>
      </c>
      <c r="L12" s="81">
        <v>27</v>
      </c>
      <c r="M12" s="82">
        <v>15.711</v>
      </c>
      <c r="N12" s="83">
        <v>27</v>
      </c>
      <c r="O12" s="80">
        <v>11.877700000000001</v>
      </c>
      <c r="P12" s="83">
        <v>24</v>
      </c>
      <c r="Q12" s="80">
        <f t="shared" si="0"/>
        <v>14.490616666666668</v>
      </c>
      <c r="R12" s="81">
        <f t="shared" si="1"/>
        <v>177</v>
      </c>
      <c r="S12" s="17"/>
      <c r="T12" s="17"/>
      <c r="U12" s="17"/>
      <c r="V12" s="17"/>
      <c r="W12" s="19"/>
    </row>
    <row r="13" spans="1:23" ht="14.25" customHeight="1" x14ac:dyDescent="0.15">
      <c r="A13" s="35"/>
      <c r="B13" s="79">
        <v>6</v>
      </c>
      <c r="C13" s="74" t="s">
        <v>85</v>
      </c>
      <c r="D13" s="181">
        <v>446</v>
      </c>
      <c r="E13" s="80">
        <v>3.79996</v>
      </c>
      <c r="F13" s="81">
        <v>17</v>
      </c>
      <c r="G13" s="80">
        <v>7.6888100000000001</v>
      </c>
      <c r="H13" s="81">
        <v>25</v>
      </c>
      <c r="I13" s="82">
        <v>14.611000000000001</v>
      </c>
      <c r="J13" s="83">
        <v>30</v>
      </c>
      <c r="K13" s="80">
        <v>20.355399999999999</v>
      </c>
      <c r="L13" s="81">
        <v>39</v>
      </c>
      <c r="M13" s="82">
        <v>12.411</v>
      </c>
      <c r="N13" s="83">
        <v>15</v>
      </c>
      <c r="O13" s="80">
        <v>25.8109</v>
      </c>
      <c r="P13" s="83">
        <v>29</v>
      </c>
      <c r="Q13" s="80">
        <f t="shared" ref="Q13:Q15" si="2">AVERAGE(E13,G13,I13,K13,M13,O13)</f>
        <v>14.112845</v>
      </c>
      <c r="R13" s="81">
        <f t="shared" ref="R13:R15" si="3">SUM(F13,H13,J13,L13,N13,P13)</f>
        <v>155</v>
      </c>
      <c r="S13" s="17"/>
      <c r="T13" s="17"/>
      <c r="U13" s="17"/>
      <c r="V13" s="17"/>
      <c r="W13" s="19"/>
    </row>
    <row r="14" spans="1:23" ht="14.25" customHeight="1" x14ac:dyDescent="0.15">
      <c r="A14" s="35"/>
      <c r="B14" s="79">
        <v>7</v>
      </c>
      <c r="C14" s="74" t="s">
        <v>85</v>
      </c>
      <c r="D14" s="191">
        <v>447</v>
      </c>
      <c r="E14" s="80">
        <v>11.222099999999999</v>
      </c>
      <c r="F14" s="81">
        <v>24</v>
      </c>
      <c r="G14" s="80">
        <v>8.7999100000000006</v>
      </c>
      <c r="H14" s="81">
        <v>19</v>
      </c>
      <c r="I14" s="82">
        <v>11.9665</v>
      </c>
      <c r="J14" s="83">
        <v>19</v>
      </c>
      <c r="K14" s="80">
        <v>18.3705</v>
      </c>
      <c r="L14" s="81">
        <v>24</v>
      </c>
      <c r="M14" s="82">
        <v>23.318000000000001</v>
      </c>
      <c r="N14" s="83">
        <v>28</v>
      </c>
      <c r="O14" s="80">
        <v>28.039100000000001</v>
      </c>
      <c r="P14" s="81">
        <v>27</v>
      </c>
      <c r="Q14" s="80">
        <f t="shared" si="2"/>
        <v>16.952684999999999</v>
      </c>
      <c r="R14" s="81">
        <f t="shared" si="3"/>
        <v>141</v>
      </c>
      <c r="S14" s="17"/>
      <c r="T14" s="17"/>
      <c r="U14" s="17"/>
      <c r="V14" s="17"/>
      <c r="W14" s="19"/>
    </row>
    <row r="15" spans="1:23" ht="14.25" customHeight="1" x14ac:dyDescent="0.15">
      <c r="A15" s="35"/>
      <c r="B15" s="79">
        <v>8</v>
      </c>
      <c r="C15" s="74" t="s">
        <v>85</v>
      </c>
      <c r="D15" s="191">
        <v>452</v>
      </c>
      <c r="E15" s="80">
        <v>11.644299999999999</v>
      </c>
      <c r="F15" s="81">
        <v>25</v>
      </c>
      <c r="G15" s="80">
        <v>13.579599999999999</v>
      </c>
      <c r="H15" s="81">
        <v>36</v>
      </c>
      <c r="I15" s="82">
        <v>13.8423</v>
      </c>
      <c r="J15" s="83">
        <v>21</v>
      </c>
      <c r="K15" s="80">
        <v>9.9221199999999996</v>
      </c>
      <c r="L15" s="81">
        <v>23</v>
      </c>
      <c r="M15" s="82">
        <v>23.7331</v>
      </c>
      <c r="N15" s="83">
        <v>33</v>
      </c>
      <c r="O15" s="80">
        <v>15.822100000000001</v>
      </c>
      <c r="P15" s="81">
        <v>27</v>
      </c>
      <c r="Q15" s="80">
        <f t="shared" si="2"/>
        <v>14.757253333333333</v>
      </c>
      <c r="R15" s="81">
        <f t="shared" si="3"/>
        <v>165</v>
      </c>
      <c r="S15" s="17"/>
      <c r="T15" s="17"/>
      <c r="U15" s="17"/>
      <c r="V15" s="17"/>
      <c r="W15" s="19"/>
    </row>
    <row r="16" spans="1:23" ht="14.25" customHeight="1" x14ac:dyDescent="0.15">
      <c r="A16" s="35"/>
      <c r="B16" s="79">
        <v>9</v>
      </c>
      <c r="C16" s="84"/>
      <c r="D16" s="85"/>
      <c r="E16" s="80"/>
      <c r="F16" s="86"/>
      <c r="G16" s="80"/>
      <c r="H16" s="86"/>
      <c r="I16" s="82"/>
      <c r="J16" s="82"/>
      <c r="K16" s="80"/>
      <c r="L16" s="86"/>
      <c r="M16" s="82"/>
      <c r="N16" s="82"/>
      <c r="O16" s="80"/>
      <c r="P16" s="86"/>
      <c r="Q16" s="87"/>
      <c r="R16" s="81"/>
      <c r="S16" s="17"/>
      <c r="T16" s="17"/>
      <c r="U16" s="17"/>
      <c r="V16" s="17"/>
      <c r="W16" s="19"/>
    </row>
    <row r="17" spans="1:23" ht="14.25" customHeight="1" x14ac:dyDescent="0.15">
      <c r="A17" s="35"/>
      <c r="B17" s="192">
        <v>10</v>
      </c>
      <c r="C17" s="193"/>
      <c r="D17" s="194"/>
      <c r="E17" s="80"/>
      <c r="F17" s="86"/>
      <c r="G17" s="89"/>
      <c r="H17" s="90"/>
      <c r="I17" s="82"/>
      <c r="J17" s="82"/>
      <c r="K17" s="89"/>
      <c r="L17" s="90"/>
      <c r="M17" s="82"/>
      <c r="N17" s="82"/>
      <c r="O17" s="89"/>
      <c r="P17" s="90"/>
      <c r="Q17" s="91"/>
      <c r="R17" s="154"/>
      <c r="S17" s="17"/>
      <c r="T17" s="17"/>
      <c r="U17" s="17"/>
      <c r="V17" s="17"/>
      <c r="W17" s="19"/>
    </row>
    <row r="18" spans="1:23" ht="14.25" customHeight="1" x14ac:dyDescent="0.15">
      <c r="A18" s="93"/>
      <c r="B18" s="94"/>
      <c r="C18" s="94"/>
      <c r="D18" s="73" t="s">
        <v>47</v>
      </c>
      <c r="E18" s="95">
        <f>AVERAGE(E8:E17)</f>
        <v>14.00554625</v>
      </c>
      <c r="F18" s="96">
        <f t="shared" ref="F18:R18" si="4">AVERAGE(F8:F17)</f>
        <v>28.25</v>
      </c>
      <c r="G18" s="97">
        <f t="shared" si="4"/>
        <v>16.61131</v>
      </c>
      <c r="H18" s="98">
        <f t="shared" si="4"/>
        <v>27.625</v>
      </c>
      <c r="I18" s="99">
        <f t="shared" si="4"/>
        <v>17.419525</v>
      </c>
      <c r="J18" s="99">
        <f t="shared" si="4"/>
        <v>23.125</v>
      </c>
      <c r="K18" s="97">
        <f t="shared" si="4"/>
        <v>16.395927500000003</v>
      </c>
      <c r="L18" s="98">
        <f t="shared" si="4"/>
        <v>26.375</v>
      </c>
      <c r="M18" s="99">
        <f t="shared" si="4"/>
        <v>16.771687499999999</v>
      </c>
      <c r="N18" s="99">
        <f t="shared" si="4"/>
        <v>21.75</v>
      </c>
      <c r="O18" s="97">
        <f t="shared" si="4"/>
        <v>19.541615</v>
      </c>
      <c r="P18" s="98">
        <f t="shared" si="4"/>
        <v>24.25</v>
      </c>
      <c r="Q18" s="100">
        <f t="shared" si="4"/>
        <v>16.790935208333334</v>
      </c>
      <c r="R18" s="98">
        <f t="shared" si="4"/>
        <v>151.375</v>
      </c>
      <c r="S18" s="17"/>
      <c r="T18" s="17"/>
      <c r="U18" s="17"/>
      <c r="V18" s="17"/>
      <c r="W18" s="19"/>
    </row>
    <row r="19" spans="1:23" ht="14.25" customHeight="1" x14ac:dyDescent="0.15">
      <c r="A19" s="93"/>
      <c r="B19" s="94"/>
      <c r="C19" s="94"/>
      <c r="D19" s="73" t="s">
        <v>48</v>
      </c>
      <c r="E19" s="101">
        <f>STDEV(E8:E17)/SQRT(COUNT(E8:E17))</f>
        <v>2.9220040200806756</v>
      </c>
      <c r="F19" s="102">
        <f t="shared" ref="F19:R19" si="5">STDEV(F8:F17)/SQRT(COUNT(F8:F17))</f>
        <v>3.0807582554578063</v>
      </c>
      <c r="G19" s="101">
        <f t="shared" si="5"/>
        <v>3.7927179935959425</v>
      </c>
      <c r="H19" s="102">
        <f t="shared" si="5"/>
        <v>1.9542764463021671</v>
      </c>
      <c r="I19" s="103">
        <f t="shared" si="5"/>
        <v>1.4378249490798383</v>
      </c>
      <c r="J19" s="103">
        <f t="shared" si="5"/>
        <v>1.9588398534409521</v>
      </c>
      <c r="K19" s="101">
        <f t="shared" si="5"/>
        <v>1.3906319655514114</v>
      </c>
      <c r="L19" s="102">
        <f t="shared" si="5"/>
        <v>2.485224192243888</v>
      </c>
      <c r="M19" s="103">
        <f t="shared" si="5"/>
        <v>1.6813648013314224</v>
      </c>
      <c r="N19" s="103">
        <f t="shared" si="5"/>
        <v>2.4476665272400626</v>
      </c>
      <c r="O19" s="101">
        <f t="shared" si="5"/>
        <v>2.6489048725052671</v>
      </c>
      <c r="P19" s="102">
        <f t="shared" si="5"/>
        <v>1.7397659941169428</v>
      </c>
      <c r="Q19" s="103">
        <f t="shared" si="5"/>
        <v>1.1192879449995268</v>
      </c>
      <c r="R19" s="102">
        <f t="shared" si="5"/>
        <v>6.8502802341009579</v>
      </c>
      <c r="S19" s="17"/>
      <c r="T19" s="17"/>
      <c r="U19" s="17"/>
      <c r="V19" s="17"/>
      <c r="W19" s="19"/>
    </row>
    <row r="20" spans="1:23" ht="14.25" customHeight="1" x14ac:dyDescent="0.15">
      <c r="A20" s="36" t="s">
        <v>49</v>
      </c>
      <c r="B20" s="37">
        <v>1</v>
      </c>
      <c r="C20" s="104" t="s">
        <v>85</v>
      </c>
      <c r="D20" s="182">
        <v>405</v>
      </c>
      <c r="E20" s="82"/>
      <c r="F20" s="81"/>
      <c r="G20" s="75"/>
      <c r="H20" s="76"/>
      <c r="I20" s="77"/>
      <c r="J20" s="78"/>
      <c r="K20" s="75"/>
      <c r="L20" s="76"/>
      <c r="M20" s="77"/>
      <c r="N20" s="78"/>
      <c r="O20" s="75"/>
      <c r="P20" s="76"/>
      <c r="Q20" s="80"/>
      <c r="R20" s="81"/>
      <c r="S20" s="17"/>
      <c r="T20" s="17"/>
      <c r="U20" s="17"/>
      <c r="V20" s="17"/>
      <c r="W20" s="19"/>
    </row>
    <row r="21" spans="1:23" ht="14.25" customHeight="1" x14ac:dyDescent="0.15">
      <c r="A21" s="207" t="s">
        <v>83</v>
      </c>
      <c r="B21" s="39">
        <v>2</v>
      </c>
      <c r="C21" s="107" t="s">
        <v>85</v>
      </c>
      <c r="D21" s="183">
        <v>406</v>
      </c>
      <c r="E21" s="82">
        <v>2.21109</v>
      </c>
      <c r="F21" s="81">
        <v>10</v>
      </c>
      <c r="G21" s="80">
        <v>3.8332899999999999</v>
      </c>
      <c r="H21" s="81">
        <v>10</v>
      </c>
      <c r="I21" s="82">
        <v>8.4887999999999995</v>
      </c>
      <c r="J21" s="83">
        <v>30</v>
      </c>
      <c r="K21" s="80">
        <v>9.2110199999999995</v>
      </c>
      <c r="L21" s="81">
        <v>11</v>
      </c>
      <c r="M21" s="82">
        <v>11.8332</v>
      </c>
      <c r="N21" s="83">
        <v>15</v>
      </c>
      <c r="O21" s="80">
        <v>2.7555299999999998</v>
      </c>
      <c r="P21" s="81">
        <v>2</v>
      </c>
      <c r="Q21" s="80">
        <f t="shared" ref="Q21:Q22" si="6">AVERAGE(E21,G21,I21,K21,M21,O21)</f>
        <v>6.388821666666666</v>
      </c>
      <c r="R21" s="81">
        <f t="shared" ref="R21:R22" si="7">SUM(F21,H21,J21,L21,N21,P21)</f>
        <v>78</v>
      </c>
      <c r="S21" s="17"/>
      <c r="T21" s="17"/>
      <c r="U21" s="17"/>
      <c r="V21" s="17"/>
      <c r="W21" s="19"/>
    </row>
    <row r="22" spans="1:23" ht="14.25" customHeight="1" x14ac:dyDescent="0.15">
      <c r="A22" s="207"/>
      <c r="B22" s="39">
        <v>3</v>
      </c>
      <c r="C22" s="107" t="s">
        <v>85</v>
      </c>
      <c r="D22" s="183">
        <v>407</v>
      </c>
      <c r="E22" s="82">
        <v>2.2222</v>
      </c>
      <c r="F22" s="81">
        <v>7</v>
      </c>
      <c r="G22" s="80">
        <v>3.92218</v>
      </c>
      <c r="H22" s="81">
        <v>8</v>
      </c>
      <c r="I22" s="82">
        <v>2.3888699999999998</v>
      </c>
      <c r="J22" s="83">
        <v>5</v>
      </c>
      <c r="K22" s="80">
        <v>1.78887</v>
      </c>
      <c r="L22" s="81">
        <v>5</v>
      </c>
      <c r="M22" s="82">
        <v>0.377774</v>
      </c>
      <c r="N22" s="83">
        <v>1</v>
      </c>
      <c r="O22" s="80">
        <v>0.188887</v>
      </c>
      <c r="P22" s="81">
        <v>2</v>
      </c>
      <c r="Q22" s="80">
        <f t="shared" si="6"/>
        <v>1.8147968333333331</v>
      </c>
      <c r="R22" s="81">
        <f t="shared" si="7"/>
        <v>28</v>
      </c>
      <c r="S22" s="17"/>
      <c r="T22" s="17"/>
      <c r="U22" s="17"/>
      <c r="V22" s="17"/>
      <c r="W22" s="19"/>
    </row>
    <row r="23" spans="1:23" ht="14.25" customHeight="1" x14ac:dyDescent="0.15">
      <c r="A23" s="38"/>
      <c r="B23" s="39">
        <v>4</v>
      </c>
      <c r="C23" s="107" t="s">
        <v>85</v>
      </c>
      <c r="D23" s="183">
        <v>408</v>
      </c>
      <c r="E23" s="109"/>
      <c r="F23" s="110"/>
      <c r="G23" s="111"/>
      <c r="H23" s="110"/>
      <c r="I23" s="109"/>
      <c r="J23" s="112"/>
      <c r="K23" s="111"/>
      <c r="L23" s="110"/>
      <c r="M23" s="109"/>
      <c r="N23" s="112"/>
      <c r="O23" s="111"/>
      <c r="P23" s="110"/>
      <c r="Q23" s="80"/>
      <c r="R23" s="81"/>
      <c r="S23" s="17"/>
      <c r="T23" s="17"/>
      <c r="U23" s="17"/>
      <c r="V23" s="17"/>
      <c r="W23" s="19"/>
    </row>
    <row r="24" spans="1:23" ht="14.25" customHeight="1" x14ac:dyDescent="0.15">
      <c r="A24" s="38"/>
      <c r="B24" s="39">
        <v>5</v>
      </c>
      <c r="C24" s="107" t="s">
        <v>85</v>
      </c>
      <c r="D24" s="183">
        <v>445</v>
      </c>
      <c r="E24" s="109">
        <v>5.0888400000000003</v>
      </c>
      <c r="F24" s="110">
        <v>19</v>
      </c>
      <c r="G24" s="111">
        <v>9.2776800000000001</v>
      </c>
      <c r="H24" s="110">
        <v>25</v>
      </c>
      <c r="I24" s="109">
        <v>15.666499999999999</v>
      </c>
      <c r="J24" s="112">
        <v>29</v>
      </c>
      <c r="K24" s="111">
        <v>33.837000000000003</v>
      </c>
      <c r="L24" s="110">
        <v>39</v>
      </c>
      <c r="M24" s="109">
        <v>23.040199999999999</v>
      </c>
      <c r="N24" s="112">
        <v>28</v>
      </c>
      <c r="O24" s="111">
        <v>20.8169</v>
      </c>
      <c r="P24" s="110">
        <v>24</v>
      </c>
      <c r="Q24" s="80">
        <f t="shared" ref="Q24:Q27" si="8">AVERAGE(E24,G24,I24,K24,M24,O24)</f>
        <v>17.954520000000002</v>
      </c>
      <c r="R24" s="81">
        <f t="shared" ref="R24:R27" si="9">SUM(F24,H24,J24,L24,N24,P24)</f>
        <v>164</v>
      </c>
      <c r="S24" s="17"/>
      <c r="T24" s="17"/>
      <c r="U24" s="17"/>
      <c r="V24" s="17"/>
      <c r="W24" s="19"/>
    </row>
    <row r="25" spans="1:23" ht="14.25" customHeight="1" x14ac:dyDescent="0.15">
      <c r="A25" s="38"/>
      <c r="B25" s="39">
        <v>6</v>
      </c>
      <c r="C25" s="107" t="s">
        <v>85</v>
      </c>
      <c r="D25" s="183">
        <v>448</v>
      </c>
      <c r="E25" s="109">
        <v>6.4110500000000004</v>
      </c>
      <c r="F25" s="110">
        <v>13</v>
      </c>
      <c r="G25" s="111">
        <v>7.5777000000000001</v>
      </c>
      <c r="H25" s="110">
        <v>17</v>
      </c>
      <c r="I25" s="109">
        <v>9.1776900000000001</v>
      </c>
      <c r="J25" s="112">
        <v>9</v>
      </c>
      <c r="K25" s="111">
        <v>12.2554</v>
      </c>
      <c r="L25" s="110">
        <v>14</v>
      </c>
      <c r="M25" s="109">
        <v>6.1110499999999996</v>
      </c>
      <c r="N25" s="112">
        <v>8</v>
      </c>
      <c r="O25" s="111">
        <v>5.1777300000000004</v>
      </c>
      <c r="P25" s="110">
        <v>12</v>
      </c>
      <c r="Q25" s="80">
        <f t="shared" si="8"/>
        <v>7.7851033333333346</v>
      </c>
      <c r="R25" s="81">
        <f t="shared" si="9"/>
        <v>73</v>
      </c>
      <c r="S25" s="17"/>
      <c r="T25" s="17"/>
      <c r="U25" s="17"/>
      <c r="V25" s="17"/>
      <c r="W25" s="19"/>
    </row>
    <row r="26" spans="1:23" ht="14.25" customHeight="1" x14ac:dyDescent="0.15">
      <c r="A26" s="38"/>
      <c r="B26" s="39">
        <v>7</v>
      </c>
      <c r="C26" s="107" t="s">
        <v>85</v>
      </c>
      <c r="D26" s="190">
        <v>449</v>
      </c>
      <c r="E26" s="111">
        <v>0.79999200000000004</v>
      </c>
      <c r="F26" s="110">
        <v>4</v>
      </c>
      <c r="G26" s="111">
        <v>3.93329</v>
      </c>
      <c r="H26" s="110">
        <v>12</v>
      </c>
      <c r="I26" s="109">
        <v>1.8333200000000001</v>
      </c>
      <c r="J26" s="112">
        <v>7</v>
      </c>
      <c r="K26" s="111">
        <v>1.1373200000000001</v>
      </c>
      <c r="L26" s="110">
        <v>7</v>
      </c>
      <c r="M26" s="109">
        <v>13.7959</v>
      </c>
      <c r="N26" s="112">
        <v>20</v>
      </c>
      <c r="O26" s="111">
        <v>8.7614699999999992</v>
      </c>
      <c r="P26" s="110">
        <v>14</v>
      </c>
      <c r="Q26" s="80">
        <f t="shared" si="8"/>
        <v>5.0435486666666662</v>
      </c>
      <c r="R26" s="81">
        <f t="shared" si="9"/>
        <v>64</v>
      </c>
      <c r="S26" s="17"/>
      <c r="T26" s="17"/>
      <c r="U26" s="17"/>
      <c r="V26" s="17"/>
      <c r="W26" s="19"/>
    </row>
    <row r="27" spans="1:23" ht="14.25" customHeight="1" x14ac:dyDescent="0.15">
      <c r="A27" s="38"/>
      <c r="B27" s="39">
        <v>8</v>
      </c>
      <c r="C27" s="107" t="s">
        <v>85</v>
      </c>
      <c r="D27" s="190">
        <v>451</v>
      </c>
      <c r="E27" s="111">
        <v>5.7221599999999997</v>
      </c>
      <c r="F27" s="115">
        <v>23</v>
      </c>
      <c r="G27" s="111">
        <v>12.222099999999999</v>
      </c>
      <c r="H27" s="115">
        <v>20</v>
      </c>
      <c r="I27" s="109">
        <v>4.3888400000000001</v>
      </c>
      <c r="J27" s="109">
        <v>11</v>
      </c>
      <c r="K27" s="111">
        <v>7.6221500000000004</v>
      </c>
      <c r="L27" s="115">
        <v>17</v>
      </c>
      <c r="M27" s="109">
        <v>3.1444100000000001</v>
      </c>
      <c r="N27" s="109">
        <v>10</v>
      </c>
      <c r="O27" s="111">
        <v>4.66662</v>
      </c>
      <c r="P27" s="115">
        <v>17</v>
      </c>
      <c r="Q27" s="80">
        <f t="shared" si="8"/>
        <v>6.2943800000000003</v>
      </c>
      <c r="R27" s="81">
        <f t="shared" si="9"/>
        <v>98</v>
      </c>
      <c r="S27" s="17"/>
      <c r="T27" s="17"/>
      <c r="U27" s="17"/>
      <c r="V27" s="17"/>
      <c r="W27" s="19"/>
    </row>
    <row r="28" spans="1:23" ht="14.25" customHeight="1" x14ac:dyDescent="0.15">
      <c r="A28" s="38"/>
      <c r="B28" s="39">
        <v>9</v>
      </c>
      <c r="C28" s="114"/>
      <c r="D28" s="113"/>
      <c r="E28" s="111"/>
      <c r="F28" s="115"/>
      <c r="G28" s="111"/>
      <c r="H28" s="115"/>
      <c r="I28" s="109"/>
      <c r="J28" s="109"/>
      <c r="K28" s="111"/>
      <c r="L28" s="115"/>
      <c r="M28" s="109"/>
      <c r="N28" s="109"/>
      <c r="O28" s="111"/>
      <c r="P28" s="115"/>
      <c r="Q28" s="87"/>
      <c r="R28" s="81"/>
      <c r="S28" s="17"/>
      <c r="T28" s="17"/>
      <c r="U28" s="17"/>
      <c r="V28" s="17"/>
      <c r="W28" s="19"/>
    </row>
    <row r="29" spans="1:23" ht="14.25" customHeight="1" x14ac:dyDescent="0.15">
      <c r="A29" s="38"/>
      <c r="B29" s="195">
        <v>10</v>
      </c>
      <c r="C29" s="196"/>
      <c r="D29" s="197"/>
      <c r="E29" s="116"/>
      <c r="F29" s="117"/>
      <c r="G29" s="111"/>
      <c r="H29" s="115"/>
      <c r="I29" s="109"/>
      <c r="J29" s="109"/>
      <c r="K29" s="111"/>
      <c r="L29" s="115"/>
      <c r="M29" s="109"/>
      <c r="N29" s="109"/>
      <c r="O29" s="111"/>
      <c r="P29" s="115"/>
      <c r="Q29" s="87"/>
      <c r="R29" s="81"/>
      <c r="S29" s="17"/>
      <c r="T29" s="17"/>
      <c r="U29" s="17"/>
      <c r="V29" s="17"/>
      <c r="W29" s="19"/>
    </row>
    <row r="30" spans="1:23" ht="14.25" customHeight="1" x14ac:dyDescent="0.15">
      <c r="A30" s="118"/>
      <c r="B30" s="119"/>
      <c r="C30" s="119"/>
      <c r="D30" s="120" t="s">
        <v>47</v>
      </c>
      <c r="E30" s="95">
        <f>AVERAGE(E20:E29)</f>
        <v>3.7425553333333332</v>
      </c>
      <c r="F30" s="99">
        <f t="shared" ref="F30:R30" si="10">AVERAGE(F20:F29)</f>
        <v>12.666666666666666</v>
      </c>
      <c r="G30" s="95">
        <f t="shared" si="10"/>
        <v>6.7943733333333327</v>
      </c>
      <c r="H30" s="96">
        <f t="shared" si="10"/>
        <v>15.333333333333334</v>
      </c>
      <c r="I30" s="99">
        <f t="shared" si="10"/>
        <v>6.9906700000000006</v>
      </c>
      <c r="J30" s="99">
        <f t="shared" si="10"/>
        <v>15.166666666666666</v>
      </c>
      <c r="K30" s="95">
        <f t="shared" si="10"/>
        <v>10.975293333333335</v>
      </c>
      <c r="L30" s="96">
        <f t="shared" si="10"/>
        <v>15.5</v>
      </c>
      <c r="M30" s="99">
        <f t="shared" si="10"/>
        <v>9.7170889999999996</v>
      </c>
      <c r="N30" s="99">
        <f t="shared" si="10"/>
        <v>13.666666666666666</v>
      </c>
      <c r="O30" s="95">
        <f t="shared" si="10"/>
        <v>7.0611895000000002</v>
      </c>
      <c r="P30" s="96">
        <f t="shared" si="10"/>
        <v>11.833333333333334</v>
      </c>
      <c r="Q30" s="99">
        <f t="shared" si="10"/>
        <v>7.5468617500000006</v>
      </c>
      <c r="R30" s="96">
        <f t="shared" si="10"/>
        <v>84.166666666666671</v>
      </c>
      <c r="S30" s="17"/>
      <c r="T30" s="17"/>
      <c r="U30" s="17"/>
      <c r="V30" s="17"/>
      <c r="W30" s="19"/>
    </row>
    <row r="31" spans="1:23" ht="14.25" customHeight="1" x14ac:dyDescent="0.15">
      <c r="A31" s="121"/>
      <c r="B31" s="122"/>
      <c r="C31" s="122"/>
      <c r="D31" s="123" t="s">
        <v>48</v>
      </c>
      <c r="E31" s="101">
        <f>STDEV(E20:E29)/SQRT(COUNT(E20:E29))</f>
        <v>0.93394728979554564</v>
      </c>
      <c r="F31" s="103">
        <f t="shared" ref="F31:R31" si="11">STDEV(F20:F29)/SQRT(COUNT(F20:F29))</f>
        <v>2.9514591494904878</v>
      </c>
      <c r="G31" s="101">
        <f t="shared" si="11"/>
        <v>1.4311293480643568</v>
      </c>
      <c r="H31" s="102">
        <f t="shared" si="11"/>
        <v>2.6541372316525842</v>
      </c>
      <c r="I31" s="103">
        <f t="shared" si="11"/>
        <v>2.1357420082772172</v>
      </c>
      <c r="J31" s="103">
        <f t="shared" si="11"/>
        <v>4.6073612597426932</v>
      </c>
      <c r="K31" s="101">
        <f t="shared" si="11"/>
        <v>4.8983964327316123</v>
      </c>
      <c r="L31" s="102">
        <f t="shared" si="11"/>
        <v>5.0315670189978263</v>
      </c>
      <c r="M31" s="103">
        <f t="shared" si="11"/>
        <v>3.376617354849623</v>
      </c>
      <c r="N31" s="103">
        <f t="shared" si="11"/>
        <v>3.8873012632302006</v>
      </c>
      <c r="O31" s="101">
        <f t="shared" si="11"/>
        <v>2.9841757840226033</v>
      </c>
      <c r="P31" s="102">
        <f t="shared" si="11"/>
        <v>3.525305345325108</v>
      </c>
      <c r="Q31" s="103">
        <f t="shared" si="11"/>
        <v>2.2391145666057435</v>
      </c>
      <c r="R31" s="102">
        <f t="shared" si="11"/>
        <v>18.519209246377429</v>
      </c>
      <c r="S31" s="17"/>
      <c r="T31" s="17"/>
      <c r="U31" s="17"/>
      <c r="V31" s="17"/>
      <c r="W31" s="19"/>
    </row>
    <row r="32" spans="1:23" ht="14.25" customHeight="1" x14ac:dyDescent="0.15">
      <c r="A32" s="51" t="s">
        <v>58</v>
      </c>
      <c r="B32" s="40">
        <v>1</v>
      </c>
      <c r="C32" s="124"/>
      <c r="D32" s="184"/>
      <c r="E32" s="155"/>
      <c r="F32" s="156"/>
      <c r="G32" s="155"/>
      <c r="H32" s="157"/>
      <c r="I32" s="158"/>
      <c r="J32" s="156"/>
      <c r="K32" s="155"/>
      <c r="L32" s="157"/>
      <c r="M32" s="158"/>
      <c r="N32" s="156"/>
      <c r="O32" s="155"/>
      <c r="P32" s="157"/>
      <c r="Q32" s="80"/>
      <c r="R32" s="81"/>
      <c r="S32" s="17"/>
      <c r="T32" s="17"/>
      <c r="U32" s="17"/>
      <c r="V32" s="17"/>
      <c r="W32" s="19"/>
    </row>
    <row r="33" spans="1:23" ht="14.25" customHeight="1" x14ac:dyDescent="0.15">
      <c r="A33" s="208"/>
      <c r="B33" s="41">
        <v>2</v>
      </c>
      <c r="C33" s="124"/>
      <c r="D33" s="185"/>
      <c r="E33" s="159"/>
      <c r="F33" s="156"/>
      <c r="G33" s="159"/>
      <c r="H33" s="160"/>
      <c r="I33" s="158"/>
      <c r="J33" s="156"/>
      <c r="K33" s="159"/>
      <c r="L33" s="160"/>
      <c r="M33" s="158"/>
      <c r="N33" s="156"/>
      <c r="O33" s="159"/>
      <c r="P33" s="160"/>
      <c r="Q33" s="80"/>
      <c r="R33" s="81"/>
      <c r="S33" s="17"/>
      <c r="T33" s="17"/>
      <c r="U33" s="17"/>
      <c r="V33" s="17"/>
      <c r="W33" s="19"/>
    </row>
    <row r="34" spans="1:23" ht="14.25" customHeight="1" x14ac:dyDescent="0.15">
      <c r="A34" s="208"/>
      <c r="B34" s="43">
        <v>3</v>
      </c>
      <c r="C34" s="124"/>
      <c r="D34" s="185"/>
      <c r="E34" s="158"/>
      <c r="F34" s="156"/>
      <c r="G34" s="159"/>
      <c r="H34" s="160"/>
      <c r="I34" s="158"/>
      <c r="J34" s="156"/>
      <c r="K34" s="159"/>
      <c r="L34" s="160"/>
      <c r="M34" s="158"/>
      <c r="N34" s="156"/>
      <c r="O34" s="159"/>
      <c r="P34" s="160"/>
      <c r="Q34" s="80"/>
      <c r="R34" s="81"/>
      <c r="S34" s="17"/>
      <c r="T34" s="17"/>
      <c r="U34" s="17"/>
      <c r="V34" s="17"/>
      <c r="W34" s="19"/>
    </row>
    <row r="35" spans="1:23" ht="14.25" customHeight="1" x14ac:dyDescent="0.15">
      <c r="A35" s="42"/>
      <c r="B35" s="43">
        <v>4</v>
      </c>
      <c r="C35" s="124"/>
      <c r="D35" s="185"/>
      <c r="E35" s="158"/>
      <c r="F35" s="156"/>
      <c r="G35" s="159"/>
      <c r="H35" s="160"/>
      <c r="I35" s="158"/>
      <c r="J35" s="156"/>
      <c r="K35" s="159"/>
      <c r="L35" s="160"/>
      <c r="M35" s="158"/>
      <c r="N35" s="156"/>
      <c r="O35" s="159"/>
      <c r="P35" s="160"/>
      <c r="Q35" s="80"/>
      <c r="R35" s="81"/>
      <c r="S35" s="17"/>
      <c r="T35" s="17"/>
      <c r="U35" s="17"/>
      <c r="V35" s="17"/>
      <c r="W35" s="19"/>
    </row>
    <row r="36" spans="1:23" ht="14.25" customHeight="1" x14ac:dyDescent="0.15">
      <c r="A36" s="42"/>
      <c r="B36" s="43">
        <v>5</v>
      </c>
      <c r="C36" s="124"/>
      <c r="D36" s="185"/>
      <c r="E36" s="158"/>
      <c r="F36" s="156"/>
      <c r="G36" s="159"/>
      <c r="H36" s="160"/>
      <c r="I36" s="158"/>
      <c r="J36" s="156"/>
      <c r="K36" s="159"/>
      <c r="L36" s="160"/>
      <c r="M36" s="158"/>
      <c r="N36" s="156"/>
      <c r="O36" s="159"/>
      <c r="P36" s="160"/>
      <c r="Q36" s="80"/>
      <c r="R36" s="81"/>
      <c r="S36" s="17"/>
      <c r="T36" s="17"/>
      <c r="U36" s="17"/>
      <c r="V36" s="17"/>
      <c r="W36" s="19"/>
    </row>
    <row r="37" spans="1:23" ht="14.25" customHeight="1" x14ac:dyDescent="0.15">
      <c r="A37" s="42"/>
      <c r="B37" s="43">
        <v>6</v>
      </c>
      <c r="C37" s="124"/>
      <c r="D37" s="185"/>
      <c r="E37" s="158"/>
      <c r="F37" s="156"/>
      <c r="G37" s="159"/>
      <c r="H37" s="160"/>
      <c r="I37" s="158"/>
      <c r="J37" s="156"/>
      <c r="K37" s="159"/>
      <c r="L37" s="160"/>
      <c r="M37" s="158"/>
      <c r="N37" s="156"/>
      <c r="O37" s="159"/>
      <c r="P37" s="160"/>
      <c r="Q37" s="80"/>
      <c r="R37" s="81"/>
      <c r="S37" s="17"/>
      <c r="T37" s="17"/>
      <c r="U37" s="17"/>
      <c r="V37" s="17"/>
      <c r="W37" s="19"/>
    </row>
    <row r="38" spans="1:23" ht="14.25" customHeight="1" x14ac:dyDescent="0.15">
      <c r="A38" s="42"/>
      <c r="B38" s="43">
        <v>7</v>
      </c>
      <c r="C38" s="124"/>
      <c r="D38" s="186"/>
      <c r="E38" s="158"/>
      <c r="F38" s="156"/>
      <c r="G38" s="159"/>
      <c r="H38" s="160"/>
      <c r="I38" s="158"/>
      <c r="J38" s="156"/>
      <c r="K38" s="159"/>
      <c r="L38" s="160"/>
      <c r="M38" s="158"/>
      <c r="N38" s="156"/>
      <c r="O38" s="159"/>
      <c r="P38" s="160"/>
      <c r="Q38" s="80"/>
      <c r="R38" s="81"/>
      <c r="S38" s="17"/>
      <c r="T38" s="17"/>
      <c r="U38" s="17"/>
      <c r="V38" s="17"/>
      <c r="W38" s="19"/>
    </row>
    <row r="39" spans="1:23" ht="14.25" customHeight="1" x14ac:dyDescent="0.15">
      <c r="A39" s="42"/>
      <c r="B39" s="43">
        <v>8</v>
      </c>
      <c r="C39" s="124"/>
      <c r="D39" s="186"/>
      <c r="E39" s="158"/>
      <c r="F39" s="156"/>
      <c r="G39" s="159"/>
      <c r="H39" s="160"/>
      <c r="I39" s="158"/>
      <c r="J39" s="156"/>
      <c r="K39" s="159"/>
      <c r="L39" s="160"/>
      <c r="M39" s="158"/>
      <c r="N39" s="156"/>
      <c r="O39" s="159"/>
      <c r="P39" s="160"/>
      <c r="Q39" s="80"/>
      <c r="R39" s="81"/>
      <c r="S39" s="17"/>
      <c r="T39" s="17"/>
      <c r="U39" s="17"/>
      <c r="V39" s="17"/>
      <c r="W39" s="19"/>
    </row>
    <row r="40" spans="1:23" ht="14.25" customHeight="1" x14ac:dyDescent="0.15">
      <c r="A40" s="42"/>
      <c r="B40" s="43">
        <v>9</v>
      </c>
      <c r="C40" s="132"/>
      <c r="D40" s="131"/>
      <c r="E40" s="158"/>
      <c r="F40" s="158"/>
      <c r="G40" s="159"/>
      <c r="H40" s="161"/>
      <c r="I40" s="158"/>
      <c r="J40" s="158"/>
      <c r="K40" s="159"/>
      <c r="L40" s="161"/>
      <c r="M40" s="158"/>
      <c r="N40" s="156"/>
      <c r="O40" s="159"/>
      <c r="P40" s="160"/>
      <c r="Q40" s="159"/>
      <c r="R40" s="160"/>
      <c r="S40" s="17"/>
      <c r="T40" s="17"/>
      <c r="U40" s="17"/>
      <c r="V40" s="17"/>
      <c r="W40" s="19"/>
    </row>
    <row r="41" spans="1:23" ht="14.25" customHeight="1" x14ac:dyDescent="0.15">
      <c r="A41" s="42"/>
      <c r="B41" s="198">
        <v>10</v>
      </c>
      <c r="C41" s="199"/>
      <c r="D41" s="200"/>
      <c r="E41" s="158"/>
      <c r="F41" s="158"/>
      <c r="G41" s="162"/>
      <c r="H41" s="163"/>
      <c r="I41" s="158"/>
      <c r="J41" s="158"/>
      <c r="K41" s="162"/>
      <c r="L41" s="163"/>
      <c r="M41" s="158"/>
      <c r="N41" s="158"/>
      <c r="O41" s="162"/>
      <c r="P41" s="164"/>
      <c r="Q41" s="162"/>
      <c r="R41" s="164"/>
      <c r="S41" s="17"/>
      <c r="T41" s="17"/>
      <c r="U41" s="17"/>
      <c r="V41" s="17"/>
      <c r="W41" s="19"/>
    </row>
    <row r="42" spans="1:23" ht="14.25" customHeight="1" x14ac:dyDescent="0.15">
      <c r="A42" s="137"/>
      <c r="B42" s="138"/>
      <c r="C42" s="138"/>
      <c r="D42" s="139" t="s">
        <v>47</v>
      </c>
      <c r="E42" s="95" t="e">
        <f>AVERAGE(E32:E41)</f>
        <v>#DIV/0!</v>
      </c>
      <c r="F42" s="99" t="e">
        <f t="shared" ref="F42:R42" si="12">AVERAGE(F32:F41)</f>
        <v>#DIV/0!</v>
      </c>
      <c r="G42" s="95" t="e">
        <f t="shared" si="12"/>
        <v>#DIV/0!</v>
      </c>
      <c r="H42" s="96" t="e">
        <f t="shared" si="12"/>
        <v>#DIV/0!</v>
      </c>
      <c r="I42" s="99" t="e">
        <f t="shared" si="12"/>
        <v>#DIV/0!</v>
      </c>
      <c r="J42" s="99" t="e">
        <f t="shared" si="12"/>
        <v>#DIV/0!</v>
      </c>
      <c r="K42" s="95" t="e">
        <f t="shared" si="12"/>
        <v>#DIV/0!</v>
      </c>
      <c r="L42" s="96" t="e">
        <f t="shared" si="12"/>
        <v>#DIV/0!</v>
      </c>
      <c r="M42" s="99" t="e">
        <f t="shared" si="12"/>
        <v>#DIV/0!</v>
      </c>
      <c r="N42" s="99" t="e">
        <f t="shared" si="12"/>
        <v>#DIV/0!</v>
      </c>
      <c r="O42" s="95" t="e">
        <f t="shared" si="12"/>
        <v>#DIV/0!</v>
      </c>
      <c r="P42" s="96" t="e">
        <f t="shared" si="12"/>
        <v>#DIV/0!</v>
      </c>
      <c r="Q42" s="99" t="e">
        <f t="shared" si="12"/>
        <v>#DIV/0!</v>
      </c>
      <c r="R42" s="96" t="e">
        <f t="shared" si="12"/>
        <v>#DIV/0!</v>
      </c>
      <c r="S42" s="17"/>
      <c r="T42" s="17"/>
      <c r="U42" s="17"/>
      <c r="V42" s="17"/>
      <c r="W42" s="19"/>
    </row>
    <row r="43" spans="1:23" ht="14.25" customHeight="1" x14ac:dyDescent="0.15">
      <c r="A43" s="140"/>
      <c r="B43" s="141"/>
      <c r="C43" s="141"/>
      <c r="D43" s="142" t="s">
        <v>48</v>
      </c>
      <c r="E43" s="101" t="e">
        <f>STDEV(E32:E41)/SQRT(COUNT(E32:E41))</f>
        <v>#DIV/0!</v>
      </c>
      <c r="F43" s="103" t="e">
        <f t="shared" ref="F43:R43" si="13">STDEV(F32:F41)/SQRT(COUNT(F32:F41))</f>
        <v>#DIV/0!</v>
      </c>
      <c r="G43" s="101" t="e">
        <f t="shared" si="13"/>
        <v>#DIV/0!</v>
      </c>
      <c r="H43" s="102" t="e">
        <f t="shared" si="13"/>
        <v>#DIV/0!</v>
      </c>
      <c r="I43" s="103" t="e">
        <f t="shared" si="13"/>
        <v>#DIV/0!</v>
      </c>
      <c r="J43" s="103" t="e">
        <f t="shared" si="13"/>
        <v>#DIV/0!</v>
      </c>
      <c r="K43" s="101" t="e">
        <f t="shared" si="13"/>
        <v>#DIV/0!</v>
      </c>
      <c r="L43" s="102" t="e">
        <f t="shared" si="13"/>
        <v>#DIV/0!</v>
      </c>
      <c r="M43" s="103" t="e">
        <f t="shared" si="13"/>
        <v>#DIV/0!</v>
      </c>
      <c r="N43" s="103" t="e">
        <f t="shared" si="13"/>
        <v>#DIV/0!</v>
      </c>
      <c r="O43" s="101" t="e">
        <f t="shared" si="13"/>
        <v>#DIV/0!</v>
      </c>
      <c r="P43" s="102" t="e">
        <f t="shared" si="13"/>
        <v>#DIV/0!</v>
      </c>
      <c r="Q43" s="103" t="e">
        <f t="shared" si="13"/>
        <v>#DIV/0!</v>
      </c>
      <c r="R43" s="102" t="e">
        <f t="shared" si="13"/>
        <v>#DIV/0!</v>
      </c>
      <c r="S43" s="17"/>
      <c r="T43" s="17"/>
      <c r="U43" s="17"/>
      <c r="V43" s="17"/>
      <c r="W43" s="19"/>
    </row>
    <row r="44" spans="1:23" ht="14.25" customHeight="1" x14ac:dyDescent="0.15">
      <c r="A44" s="52" t="s">
        <v>64</v>
      </c>
      <c r="B44" s="53">
        <v>1</v>
      </c>
      <c r="C44" s="143"/>
      <c r="D44" s="187"/>
      <c r="E44" s="125"/>
      <c r="F44" s="126"/>
      <c r="G44" s="125"/>
      <c r="H44" s="127"/>
      <c r="I44" s="128"/>
      <c r="J44" s="126"/>
      <c r="K44" s="125"/>
      <c r="L44" s="127"/>
      <c r="M44" s="128"/>
      <c r="N44" s="126"/>
      <c r="O44" s="125"/>
      <c r="P44" s="127"/>
      <c r="Q44" s="80"/>
      <c r="R44" s="81"/>
      <c r="S44" s="17"/>
      <c r="T44" s="17"/>
      <c r="U44" s="17"/>
      <c r="V44" s="17"/>
      <c r="W44" s="19"/>
    </row>
    <row r="45" spans="1:23" ht="14.25" customHeight="1" x14ac:dyDescent="0.15">
      <c r="A45" s="209"/>
      <c r="B45" s="54">
        <v>2</v>
      </c>
      <c r="C45" s="143"/>
      <c r="D45" s="187"/>
      <c r="E45" s="129"/>
      <c r="F45" s="126"/>
      <c r="G45" s="129"/>
      <c r="H45" s="130"/>
      <c r="I45" s="128"/>
      <c r="J45" s="126"/>
      <c r="K45" s="129"/>
      <c r="L45" s="130"/>
      <c r="M45" s="128"/>
      <c r="N45" s="126"/>
      <c r="O45" s="129"/>
      <c r="P45" s="130"/>
      <c r="Q45" s="80"/>
      <c r="R45" s="81"/>
      <c r="S45" s="17"/>
      <c r="T45" s="17"/>
      <c r="U45" s="17"/>
      <c r="V45" s="17"/>
      <c r="W45" s="19"/>
    </row>
    <row r="46" spans="1:23" ht="14.25" customHeight="1" x14ac:dyDescent="0.15">
      <c r="A46" s="209"/>
      <c r="B46" s="56">
        <v>3</v>
      </c>
      <c r="C46" s="143"/>
      <c r="D46" s="188"/>
      <c r="E46" s="128"/>
      <c r="F46" s="126"/>
      <c r="G46" s="129"/>
      <c r="H46" s="130"/>
      <c r="I46" s="128"/>
      <c r="J46" s="126"/>
      <c r="K46" s="129"/>
      <c r="L46" s="130"/>
      <c r="M46" s="128"/>
      <c r="N46" s="126"/>
      <c r="O46" s="129"/>
      <c r="P46" s="130"/>
      <c r="Q46" s="80"/>
      <c r="R46" s="81"/>
      <c r="S46" s="17"/>
      <c r="T46" s="17"/>
      <c r="U46" s="17"/>
      <c r="V46" s="17"/>
      <c r="W46" s="19"/>
    </row>
    <row r="47" spans="1:23" ht="14.25" customHeight="1" x14ac:dyDescent="0.15">
      <c r="A47" s="55"/>
      <c r="B47" s="56">
        <v>4</v>
      </c>
      <c r="C47" s="143"/>
      <c r="D47" s="188"/>
      <c r="E47" s="128"/>
      <c r="F47" s="126"/>
      <c r="G47" s="129"/>
      <c r="H47" s="130"/>
      <c r="I47" s="128"/>
      <c r="J47" s="126"/>
      <c r="K47" s="129"/>
      <c r="L47" s="130"/>
      <c r="M47" s="128"/>
      <c r="N47" s="126"/>
      <c r="O47" s="129"/>
      <c r="P47" s="130"/>
      <c r="Q47" s="80"/>
      <c r="R47" s="81"/>
      <c r="S47" s="17"/>
      <c r="T47" s="17"/>
      <c r="U47" s="17"/>
      <c r="V47" s="17"/>
      <c r="W47" s="19"/>
    </row>
    <row r="48" spans="1:23" ht="14.25" customHeight="1" x14ac:dyDescent="0.15">
      <c r="A48" s="55"/>
      <c r="B48" s="56">
        <v>5</v>
      </c>
      <c r="C48" s="143"/>
      <c r="D48" s="188"/>
      <c r="E48" s="128"/>
      <c r="F48" s="126"/>
      <c r="G48" s="129"/>
      <c r="H48" s="130"/>
      <c r="I48" s="128"/>
      <c r="J48" s="126"/>
      <c r="K48" s="129"/>
      <c r="L48" s="130"/>
      <c r="M48" s="128"/>
      <c r="N48" s="126"/>
      <c r="O48" s="129"/>
      <c r="P48" s="130"/>
      <c r="Q48" s="80"/>
      <c r="R48" s="81"/>
      <c r="S48" s="17"/>
      <c r="T48" s="17"/>
      <c r="U48" s="17"/>
      <c r="V48" s="17"/>
      <c r="W48" s="19"/>
    </row>
    <row r="49" spans="1:23" ht="14.25" customHeight="1" x14ac:dyDescent="0.15">
      <c r="A49" s="55"/>
      <c r="B49" s="56">
        <v>6</v>
      </c>
      <c r="C49" s="143"/>
      <c r="D49" s="188"/>
      <c r="E49" s="128"/>
      <c r="F49" s="126"/>
      <c r="G49" s="129"/>
      <c r="H49" s="130"/>
      <c r="I49" s="128"/>
      <c r="J49" s="126"/>
      <c r="K49" s="129"/>
      <c r="L49" s="130"/>
      <c r="M49" s="128"/>
      <c r="N49" s="126"/>
      <c r="O49" s="129"/>
      <c r="P49" s="130"/>
      <c r="Q49" s="80"/>
      <c r="R49" s="81"/>
      <c r="S49" s="17"/>
      <c r="T49" s="17"/>
      <c r="U49" s="17"/>
      <c r="V49" s="17"/>
      <c r="W49" s="19"/>
    </row>
    <row r="50" spans="1:23" ht="14.25" customHeight="1" x14ac:dyDescent="0.15">
      <c r="A50" s="55"/>
      <c r="B50" s="56">
        <v>7</v>
      </c>
      <c r="C50" s="143"/>
      <c r="D50" s="189"/>
      <c r="E50" s="128"/>
      <c r="F50" s="126"/>
      <c r="G50" s="129"/>
      <c r="H50" s="130"/>
      <c r="I50" s="128"/>
      <c r="J50" s="126"/>
      <c r="K50" s="129"/>
      <c r="L50" s="130"/>
      <c r="M50" s="128"/>
      <c r="N50" s="126"/>
      <c r="O50" s="129"/>
      <c r="P50" s="130"/>
      <c r="Q50" s="80"/>
      <c r="R50" s="81"/>
      <c r="S50" s="17"/>
      <c r="T50" s="17"/>
      <c r="U50" s="17"/>
      <c r="V50" s="17"/>
      <c r="W50" s="19"/>
    </row>
    <row r="51" spans="1:23" ht="14.25" customHeight="1" x14ac:dyDescent="0.15">
      <c r="A51" s="55"/>
      <c r="B51" s="56">
        <v>8</v>
      </c>
      <c r="C51" s="143"/>
      <c r="D51" s="189"/>
      <c r="E51" s="128"/>
      <c r="F51" s="128"/>
      <c r="G51" s="129"/>
      <c r="H51" s="133"/>
      <c r="I51" s="128"/>
      <c r="J51" s="128"/>
      <c r="K51" s="129"/>
      <c r="L51" s="133"/>
      <c r="M51" s="128"/>
      <c r="N51" s="128"/>
      <c r="O51" s="129"/>
      <c r="P51" s="133"/>
      <c r="Q51" s="129"/>
      <c r="R51" s="130"/>
      <c r="S51" s="17"/>
      <c r="T51" s="17"/>
      <c r="U51" s="17"/>
      <c r="V51" s="17"/>
      <c r="W51" s="19"/>
    </row>
    <row r="52" spans="1:23" ht="14.25" customHeight="1" x14ac:dyDescent="0.15">
      <c r="A52" s="55"/>
      <c r="B52" s="56">
        <v>9</v>
      </c>
      <c r="C52" s="145"/>
      <c r="D52" s="144"/>
      <c r="E52" s="128"/>
      <c r="F52" s="128"/>
      <c r="G52" s="129"/>
      <c r="H52" s="133"/>
      <c r="I52" s="128"/>
      <c r="J52" s="128"/>
      <c r="K52" s="129"/>
      <c r="L52" s="133"/>
      <c r="M52" s="128"/>
      <c r="N52" s="128"/>
      <c r="O52" s="129"/>
      <c r="P52" s="133"/>
      <c r="Q52" s="129"/>
      <c r="R52" s="130"/>
      <c r="S52" s="17"/>
      <c r="T52" s="17"/>
      <c r="U52" s="17"/>
      <c r="V52" s="17"/>
      <c r="W52" s="19"/>
    </row>
    <row r="53" spans="1:23" ht="14.25" customHeight="1" x14ac:dyDescent="0.15">
      <c r="A53" s="55"/>
      <c r="B53" s="201">
        <v>10</v>
      </c>
      <c r="C53" s="202"/>
      <c r="D53" s="203"/>
      <c r="E53" s="128"/>
      <c r="F53" s="128"/>
      <c r="G53" s="134"/>
      <c r="H53" s="136"/>
      <c r="I53" s="128"/>
      <c r="J53" s="128"/>
      <c r="K53" s="134"/>
      <c r="L53" s="136"/>
      <c r="M53" s="128"/>
      <c r="N53" s="128"/>
      <c r="O53" s="134"/>
      <c r="P53" s="136"/>
      <c r="Q53" s="134"/>
      <c r="R53" s="135"/>
      <c r="S53" s="17"/>
      <c r="T53" s="17"/>
      <c r="U53" s="17"/>
      <c r="V53" s="17"/>
      <c r="W53" s="19"/>
    </row>
    <row r="54" spans="1:23" ht="14.25" customHeight="1" x14ac:dyDescent="0.15">
      <c r="A54" s="146"/>
      <c r="B54" s="147"/>
      <c r="C54" s="147"/>
      <c r="D54" s="148" t="s">
        <v>47</v>
      </c>
      <c r="E54" s="95" t="e">
        <f>AVERAGE(E44:E53)</f>
        <v>#DIV/0!</v>
      </c>
      <c r="F54" s="99" t="e">
        <f t="shared" ref="F54:Q54" si="14">AVERAGE(F44:F53)</f>
        <v>#DIV/0!</v>
      </c>
      <c r="G54" s="95" t="e">
        <f t="shared" si="14"/>
        <v>#DIV/0!</v>
      </c>
      <c r="H54" s="96" t="e">
        <f t="shared" si="14"/>
        <v>#DIV/0!</v>
      </c>
      <c r="I54" s="99" t="e">
        <f t="shared" si="14"/>
        <v>#DIV/0!</v>
      </c>
      <c r="J54" s="99" t="e">
        <f t="shared" si="14"/>
        <v>#DIV/0!</v>
      </c>
      <c r="K54" s="95" t="e">
        <f t="shared" si="14"/>
        <v>#DIV/0!</v>
      </c>
      <c r="L54" s="96" t="e">
        <f t="shared" si="14"/>
        <v>#DIV/0!</v>
      </c>
      <c r="M54" s="99" t="e">
        <f t="shared" si="14"/>
        <v>#DIV/0!</v>
      </c>
      <c r="N54" s="99" t="e">
        <f t="shared" si="14"/>
        <v>#DIV/0!</v>
      </c>
      <c r="O54" s="95" t="e">
        <f t="shared" si="14"/>
        <v>#DIV/0!</v>
      </c>
      <c r="P54" s="96" t="e">
        <f t="shared" si="14"/>
        <v>#DIV/0!</v>
      </c>
      <c r="Q54" s="99" t="e">
        <f t="shared" si="14"/>
        <v>#DIV/0!</v>
      </c>
      <c r="R54" s="96" t="e">
        <f>AVERAGE(R44:R53)</f>
        <v>#DIV/0!</v>
      </c>
      <c r="S54" s="17"/>
      <c r="T54" s="17"/>
      <c r="U54" s="17"/>
      <c r="V54" s="17"/>
      <c r="W54" s="19"/>
    </row>
    <row r="55" spans="1:23" ht="14.25" customHeight="1" x14ac:dyDescent="0.15">
      <c r="A55" s="149"/>
      <c r="B55" s="150"/>
      <c r="C55" s="150"/>
      <c r="D55" s="151" t="s">
        <v>48</v>
      </c>
      <c r="E55" s="101" t="e">
        <f>STDEV(E44:E53)/SQRT(COUNT(E44:E53))</f>
        <v>#DIV/0!</v>
      </c>
      <c r="F55" s="103" t="e">
        <f t="shared" ref="F55:Q55" si="15">STDEV(F44:F53)/SQRT(COUNT(F44:F53))</f>
        <v>#DIV/0!</v>
      </c>
      <c r="G55" s="101" t="e">
        <f t="shared" si="15"/>
        <v>#DIV/0!</v>
      </c>
      <c r="H55" s="102" t="e">
        <f t="shared" si="15"/>
        <v>#DIV/0!</v>
      </c>
      <c r="I55" s="103" t="e">
        <f t="shared" si="15"/>
        <v>#DIV/0!</v>
      </c>
      <c r="J55" s="103" t="e">
        <f t="shared" si="15"/>
        <v>#DIV/0!</v>
      </c>
      <c r="K55" s="101" t="e">
        <f t="shared" si="15"/>
        <v>#DIV/0!</v>
      </c>
      <c r="L55" s="102" t="e">
        <f t="shared" si="15"/>
        <v>#DIV/0!</v>
      </c>
      <c r="M55" s="103" t="e">
        <f t="shared" si="15"/>
        <v>#DIV/0!</v>
      </c>
      <c r="N55" s="103" t="e">
        <f t="shared" si="15"/>
        <v>#DIV/0!</v>
      </c>
      <c r="O55" s="101" t="e">
        <f t="shared" si="15"/>
        <v>#DIV/0!</v>
      </c>
      <c r="P55" s="102" t="e">
        <f t="shared" si="15"/>
        <v>#DIV/0!</v>
      </c>
      <c r="Q55" s="103" t="e">
        <f t="shared" si="15"/>
        <v>#DIV/0!</v>
      </c>
      <c r="R55" s="102" t="e">
        <f>STDEV(R44:R53)/SQRT(COUNT(R44:R53))</f>
        <v>#DIV/0!</v>
      </c>
      <c r="S55" s="17"/>
      <c r="T55" s="17"/>
      <c r="U55" s="17"/>
      <c r="V55" s="17"/>
      <c r="W55" s="19"/>
    </row>
    <row r="56" spans="1:23" ht="14.25" customHeight="1" x14ac:dyDescent="0.15">
      <c r="A56" s="152"/>
      <c r="B56" s="152"/>
      <c r="C56" s="152" t="s">
        <v>50</v>
      </c>
      <c r="D56" s="152" t="s">
        <v>51</v>
      </c>
      <c r="E56" s="153">
        <f>TTEST(E8:E17,E20:E29,2,2)</f>
        <v>1.2571106863909569E-2</v>
      </c>
      <c r="F56" s="153">
        <f t="shared" ref="F56:R56" si="16">TTEST(F8:F17,F20:F29,2,2)</f>
        <v>3.997349376350808E-3</v>
      </c>
      <c r="G56" s="153">
        <f t="shared" si="16"/>
        <v>5.3731064900134989E-2</v>
      </c>
      <c r="H56" s="153">
        <f t="shared" si="16"/>
        <v>2.424173384430778E-3</v>
      </c>
      <c r="I56" s="153">
        <f t="shared" si="16"/>
        <v>1.2128324473008618E-3</v>
      </c>
      <c r="J56" s="153">
        <f t="shared" si="16"/>
        <v>0.10577349354266666</v>
      </c>
      <c r="K56" s="153">
        <f t="shared" si="16"/>
        <v>0.25023073742986984</v>
      </c>
      <c r="L56" s="153">
        <f t="shared" si="16"/>
        <v>5.774162695652954E-2</v>
      </c>
      <c r="M56" s="153">
        <f t="shared" si="16"/>
        <v>6.5944915932407686E-2</v>
      </c>
      <c r="N56" s="153">
        <f t="shared" si="16"/>
        <v>8.968526464839599E-2</v>
      </c>
      <c r="O56" s="153">
        <f t="shared" si="16"/>
        <v>8.9236836474527823E-3</v>
      </c>
      <c r="P56" s="153">
        <f t="shared" si="16"/>
        <v>5.079090103709414E-3</v>
      </c>
      <c r="Q56" s="153">
        <f t="shared" si="16"/>
        <v>1.7857473428258739E-3</v>
      </c>
      <c r="R56" s="153">
        <f t="shared" si="16"/>
        <v>2.5617600323248543E-3</v>
      </c>
      <c r="S56" s="17"/>
      <c r="T56" s="17"/>
      <c r="U56" s="17"/>
      <c r="V56" s="17"/>
      <c r="W56" s="19"/>
    </row>
    <row r="57" spans="1:23" ht="14.25" customHeight="1" x14ac:dyDescent="0.15">
      <c r="A57" s="152"/>
      <c r="B57" s="152"/>
      <c r="C57" s="152"/>
      <c r="D57" s="152" t="s">
        <v>59</v>
      </c>
      <c r="E57" s="153" t="e">
        <f>TTEST(E8:E17,E32:E41,2,2)</f>
        <v>#DIV/0!</v>
      </c>
      <c r="F57" s="153" t="e">
        <f t="shared" ref="F57:R57" si="17">TTEST(F8:F17,F32:F41,2,2)</f>
        <v>#DIV/0!</v>
      </c>
      <c r="G57" s="153" t="e">
        <f t="shared" si="17"/>
        <v>#DIV/0!</v>
      </c>
      <c r="H57" s="153" t="e">
        <f t="shared" si="17"/>
        <v>#DIV/0!</v>
      </c>
      <c r="I57" s="153" t="e">
        <f t="shared" si="17"/>
        <v>#DIV/0!</v>
      </c>
      <c r="J57" s="153" t="e">
        <f t="shared" si="17"/>
        <v>#DIV/0!</v>
      </c>
      <c r="K57" s="153" t="e">
        <f t="shared" si="17"/>
        <v>#DIV/0!</v>
      </c>
      <c r="L57" s="153" t="e">
        <f t="shared" si="17"/>
        <v>#DIV/0!</v>
      </c>
      <c r="M57" s="153" t="e">
        <f t="shared" si="17"/>
        <v>#DIV/0!</v>
      </c>
      <c r="N57" s="153" t="e">
        <f t="shared" si="17"/>
        <v>#DIV/0!</v>
      </c>
      <c r="O57" s="153" t="e">
        <f t="shared" si="17"/>
        <v>#DIV/0!</v>
      </c>
      <c r="P57" s="153" t="e">
        <f t="shared" si="17"/>
        <v>#DIV/0!</v>
      </c>
      <c r="Q57" s="153" t="e">
        <f t="shared" si="17"/>
        <v>#DIV/0!</v>
      </c>
      <c r="R57" s="153" t="e">
        <f t="shared" si="17"/>
        <v>#DIV/0!</v>
      </c>
      <c r="S57" s="17"/>
      <c r="T57" s="17"/>
      <c r="U57" s="17"/>
      <c r="V57" s="17"/>
      <c r="W57" s="19"/>
    </row>
    <row r="58" spans="1:23" ht="14.25" customHeight="1" x14ac:dyDescent="0.15">
      <c r="A58" s="152"/>
      <c r="B58" s="152"/>
      <c r="C58" s="152"/>
      <c r="D58" s="152" t="s">
        <v>65</v>
      </c>
      <c r="E58" s="153" t="e">
        <f>TTEST(E8:E17,E44:E53,2,2)</f>
        <v>#DIV/0!</v>
      </c>
      <c r="F58" s="153" t="e">
        <f t="shared" ref="F58:R58" si="18">TTEST(F8:F17,F44:F53,2,2)</f>
        <v>#DIV/0!</v>
      </c>
      <c r="G58" s="153" t="e">
        <f t="shared" si="18"/>
        <v>#DIV/0!</v>
      </c>
      <c r="H58" s="153" t="e">
        <f t="shared" si="18"/>
        <v>#DIV/0!</v>
      </c>
      <c r="I58" s="153" t="e">
        <f t="shared" si="18"/>
        <v>#DIV/0!</v>
      </c>
      <c r="J58" s="153" t="e">
        <f t="shared" si="18"/>
        <v>#DIV/0!</v>
      </c>
      <c r="K58" s="153" t="e">
        <f t="shared" si="18"/>
        <v>#DIV/0!</v>
      </c>
      <c r="L58" s="153" t="e">
        <f t="shared" si="18"/>
        <v>#DIV/0!</v>
      </c>
      <c r="M58" s="153" t="e">
        <f t="shared" si="18"/>
        <v>#DIV/0!</v>
      </c>
      <c r="N58" s="153" t="e">
        <f t="shared" si="18"/>
        <v>#DIV/0!</v>
      </c>
      <c r="O58" s="153" t="e">
        <f t="shared" si="18"/>
        <v>#DIV/0!</v>
      </c>
      <c r="P58" s="153" t="e">
        <f t="shared" si="18"/>
        <v>#DIV/0!</v>
      </c>
      <c r="Q58" s="153" t="e">
        <f t="shared" si="18"/>
        <v>#DIV/0!</v>
      </c>
      <c r="R58" s="153" t="e">
        <f t="shared" si="18"/>
        <v>#DIV/0!</v>
      </c>
      <c r="S58" s="17"/>
      <c r="T58" s="17"/>
      <c r="U58" s="17"/>
      <c r="V58" s="17"/>
      <c r="W58" s="19"/>
    </row>
    <row r="59" spans="1:23" ht="14.25" customHeight="1" x14ac:dyDescent="0.15">
      <c r="A59" s="152"/>
      <c r="B59" s="152"/>
      <c r="C59" s="152"/>
      <c r="D59" s="152" t="s">
        <v>60</v>
      </c>
      <c r="E59" s="153" t="e">
        <f>TTEST(E20:E29,E32:E41,2,2)</f>
        <v>#DIV/0!</v>
      </c>
      <c r="F59" s="153" t="e">
        <f t="shared" ref="F59:R59" si="19">TTEST(F20:F29,F32:F41,2,2)</f>
        <v>#DIV/0!</v>
      </c>
      <c r="G59" s="153" t="e">
        <f t="shared" si="19"/>
        <v>#DIV/0!</v>
      </c>
      <c r="H59" s="153" t="e">
        <f t="shared" si="19"/>
        <v>#DIV/0!</v>
      </c>
      <c r="I59" s="153" t="e">
        <f t="shared" si="19"/>
        <v>#DIV/0!</v>
      </c>
      <c r="J59" s="153" t="e">
        <f t="shared" si="19"/>
        <v>#DIV/0!</v>
      </c>
      <c r="K59" s="153" t="e">
        <f t="shared" si="19"/>
        <v>#DIV/0!</v>
      </c>
      <c r="L59" s="153" t="e">
        <f t="shared" si="19"/>
        <v>#DIV/0!</v>
      </c>
      <c r="M59" s="153" t="e">
        <f t="shared" si="19"/>
        <v>#DIV/0!</v>
      </c>
      <c r="N59" s="153" t="e">
        <f t="shared" si="19"/>
        <v>#DIV/0!</v>
      </c>
      <c r="O59" s="153" t="e">
        <f t="shared" si="19"/>
        <v>#DIV/0!</v>
      </c>
      <c r="P59" s="153" t="e">
        <f t="shared" si="19"/>
        <v>#DIV/0!</v>
      </c>
      <c r="Q59" s="153" t="e">
        <f t="shared" si="19"/>
        <v>#DIV/0!</v>
      </c>
      <c r="R59" s="153" t="e">
        <f t="shared" si="19"/>
        <v>#DIV/0!</v>
      </c>
      <c r="S59" s="17"/>
      <c r="T59" s="17"/>
      <c r="U59" s="17"/>
      <c r="V59" s="17"/>
      <c r="W59" s="19"/>
    </row>
    <row r="60" spans="1:23" ht="14.25" customHeight="1" x14ac:dyDescent="0.15">
      <c r="A60" s="152"/>
      <c r="B60" s="152"/>
      <c r="C60" s="152"/>
      <c r="D60" s="152" t="s">
        <v>66</v>
      </c>
      <c r="E60" s="153" t="e">
        <f>TTEST(E20:E29,E44:E53,2,2)</f>
        <v>#DIV/0!</v>
      </c>
      <c r="F60" s="153" t="e">
        <f t="shared" ref="F60:R60" si="20">TTEST(F20:F29,F44:F53,2,2)</f>
        <v>#DIV/0!</v>
      </c>
      <c r="G60" s="153" t="e">
        <f t="shared" si="20"/>
        <v>#DIV/0!</v>
      </c>
      <c r="H60" s="153" t="e">
        <f t="shared" si="20"/>
        <v>#DIV/0!</v>
      </c>
      <c r="I60" s="153" t="e">
        <f t="shared" si="20"/>
        <v>#DIV/0!</v>
      </c>
      <c r="J60" s="153" t="e">
        <f t="shared" si="20"/>
        <v>#DIV/0!</v>
      </c>
      <c r="K60" s="153" t="e">
        <f t="shared" si="20"/>
        <v>#DIV/0!</v>
      </c>
      <c r="L60" s="153" t="e">
        <f t="shared" si="20"/>
        <v>#DIV/0!</v>
      </c>
      <c r="M60" s="153" t="e">
        <f t="shared" si="20"/>
        <v>#DIV/0!</v>
      </c>
      <c r="N60" s="153" t="e">
        <f t="shared" si="20"/>
        <v>#DIV/0!</v>
      </c>
      <c r="O60" s="153" t="e">
        <f t="shared" si="20"/>
        <v>#DIV/0!</v>
      </c>
      <c r="P60" s="153" t="e">
        <f t="shared" si="20"/>
        <v>#DIV/0!</v>
      </c>
      <c r="Q60" s="153" t="e">
        <f t="shared" si="20"/>
        <v>#DIV/0!</v>
      </c>
      <c r="R60" s="153" t="e">
        <f t="shared" si="20"/>
        <v>#DIV/0!</v>
      </c>
      <c r="S60" s="17"/>
      <c r="T60" s="17"/>
      <c r="U60" s="17"/>
      <c r="V60" s="17"/>
      <c r="W60" s="19"/>
    </row>
    <row r="61" spans="1:23" ht="14.25" customHeight="1" x14ac:dyDescent="0.15">
      <c r="A61" s="152"/>
      <c r="B61" s="152"/>
      <c r="C61" s="152"/>
      <c r="D61" s="152" t="s">
        <v>67</v>
      </c>
      <c r="E61" s="153" t="e">
        <f>TTEST(E32:E41,E44:E53,2,2)</f>
        <v>#DIV/0!</v>
      </c>
      <c r="F61" s="153" t="e">
        <f t="shared" ref="F61:R61" si="21">TTEST(F32:F41,F44:F53,2,2)</f>
        <v>#DIV/0!</v>
      </c>
      <c r="G61" s="153" t="e">
        <f t="shared" si="21"/>
        <v>#DIV/0!</v>
      </c>
      <c r="H61" s="153" t="e">
        <f t="shared" si="21"/>
        <v>#DIV/0!</v>
      </c>
      <c r="I61" s="153" t="e">
        <f t="shared" si="21"/>
        <v>#DIV/0!</v>
      </c>
      <c r="J61" s="153" t="e">
        <f t="shared" si="21"/>
        <v>#DIV/0!</v>
      </c>
      <c r="K61" s="153" t="e">
        <f t="shared" si="21"/>
        <v>#DIV/0!</v>
      </c>
      <c r="L61" s="153" t="e">
        <f t="shared" si="21"/>
        <v>#DIV/0!</v>
      </c>
      <c r="M61" s="153" t="e">
        <f t="shared" si="21"/>
        <v>#DIV/0!</v>
      </c>
      <c r="N61" s="153" t="e">
        <f t="shared" si="21"/>
        <v>#DIV/0!</v>
      </c>
      <c r="O61" s="153" t="e">
        <f t="shared" si="21"/>
        <v>#DIV/0!</v>
      </c>
      <c r="P61" s="153" t="e">
        <f t="shared" si="21"/>
        <v>#DIV/0!</v>
      </c>
      <c r="Q61" s="153" t="e">
        <f t="shared" si="21"/>
        <v>#DIV/0!</v>
      </c>
      <c r="R61" s="153" t="e">
        <f t="shared" si="21"/>
        <v>#DIV/0!</v>
      </c>
      <c r="S61" s="17"/>
      <c r="T61" s="17"/>
      <c r="U61" s="17"/>
      <c r="V61" s="17"/>
      <c r="W61" s="19"/>
    </row>
    <row r="62" spans="1:23" ht="14.25" customHeight="1" x14ac:dyDescent="0.15">
      <c r="A62" s="165"/>
      <c r="B62" s="166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44"/>
      <c r="T62" s="44"/>
      <c r="U62" s="44"/>
      <c r="V62" s="44"/>
      <c r="W62" s="45"/>
    </row>
  </sheetData>
  <sheetProtection algorithmName="SHA-512" hashValue="ORW7a/UONxb0VRRbOCoNJ/t9tVzCEcngCOPCzZIn5GT12d6haESv6KOyrkr4z9PktukYIa1hFP6o+s04y0dc8A==" saltValue="1ZzXUivUGPCUJnCC0Vp6ww==" spinCount="100000" sheet="1" objects="1" scenarios="1"/>
  <mergeCells count="11">
    <mergeCell ref="A9:A10"/>
    <mergeCell ref="A21:A22"/>
    <mergeCell ref="A33:A34"/>
    <mergeCell ref="A45:A46"/>
    <mergeCell ref="O5:P5"/>
    <mergeCell ref="Q5:R5"/>
    <mergeCell ref="E5:F5"/>
    <mergeCell ref="G5:H5"/>
    <mergeCell ref="I5:J5"/>
    <mergeCell ref="K5:L5"/>
    <mergeCell ref="M5:N5"/>
  </mergeCells>
  <conditionalFormatting sqref="E56:R61">
    <cfRule type="cellIs" dxfId="6" priority="1" operator="lessThan">
      <formula>0.05</formula>
    </cfRule>
    <cfRule type="cellIs" dxfId="5" priority="2" operator="lessThan">
      <formula>0.05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62"/>
  <sheetViews>
    <sheetView zoomScaleNormal="100" workbookViewId="0">
      <selection activeCell="A4" sqref="A4"/>
    </sheetView>
  </sheetViews>
  <sheetFormatPr baseColWidth="10" defaultColWidth="9" defaultRowHeight="14" x14ac:dyDescent="0.15"/>
  <cols>
    <col min="1" max="16384" width="9" style="2"/>
  </cols>
  <sheetData>
    <row r="1" spans="1:23" ht="14.25" customHeight="1" x14ac:dyDescent="0.1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/>
    </row>
    <row r="2" spans="1:23" ht="14.25" customHeight="1" x14ac:dyDescent="0.15">
      <c r="A2" s="72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9"/>
    </row>
    <row r="3" spans="1:23" ht="14.25" customHeight="1" x14ac:dyDescent="0.15">
      <c r="A3" s="72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9"/>
    </row>
    <row r="4" spans="1:23" ht="14.25" customHeight="1" x14ac:dyDescent="0.2">
      <c r="A4" s="14"/>
      <c r="B4" s="15"/>
      <c r="C4" s="15"/>
      <c r="D4" s="16"/>
      <c r="E4" s="17"/>
      <c r="F4" s="17"/>
      <c r="G4" s="18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9"/>
    </row>
    <row r="5" spans="1:23" ht="14.25" customHeight="1" x14ac:dyDescent="0.15">
      <c r="A5" s="20"/>
      <c r="B5" s="21"/>
      <c r="C5" s="21"/>
      <c r="D5" s="22"/>
      <c r="E5" s="213" t="s">
        <v>32</v>
      </c>
      <c r="F5" s="214"/>
      <c r="G5" s="213" t="s">
        <v>33</v>
      </c>
      <c r="H5" s="214"/>
      <c r="I5" s="213" t="s">
        <v>34</v>
      </c>
      <c r="J5" s="214"/>
      <c r="K5" s="213" t="s">
        <v>35</v>
      </c>
      <c r="L5" s="214"/>
      <c r="M5" s="213" t="s">
        <v>36</v>
      </c>
      <c r="N5" s="214"/>
      <c r="O5" s="213" t="s">
        <v>37</v>
      </c>
      <c r="P5" s="214"/>
      <c r="Q5" s="213" t="s">
        <v>38</v>
      </c>
      <c r="R5" s="214"/>
      <c r="S5" s="17"/>
      <c r="T5" s="17"/>
      <c r="U5" s="17"/>
      <c r="V5" s="17"/>
      <c r="W5" s="19"/>
    </row>
    <row r="6" spans="1:23" ht="14.25" customHeight="1" x14ac:dyDescent="0.15">
      <c r="A6" s="23"/>
      <c r="B6" s="24"/>
      <c r="C6" s="24"/>
      <c r="D6" s="25"/>
      <c r="E6" s="26" t="s">
        <v>39</v>
      </c>
      <c r="F6" s="46" t="s">
        <v>40</v>
      </c>
      <c r="G6" s="26" t="s">
        <v>39</v>
      </c>
      <c r="H6" s="47" t="s">
        <v>40</v>
      </c>
      <c r="I6" s="48" t="s">
        <v>39</v>
      </c>
      <c r="J6" s="46" t="s">
        <v>40</v>
      </c>
      <c r="K6" s="26" t="s">
        <v>39</v>
      </c>
      <c r="L6" s="47" t="s">
        <v>40</v>
      </c>
      <c r="M6" s="26" t="s">
        <v>39</v>
      </c>
      <c r="N6" s="47" t="s">
        <v>40</v>
      </c>
      <c r="O6" s="26" t="s">
        <v>39</v>
      </c>
      <c r="P6" s="47" t="s">
        <v>40</v>
      </c>
      <c r="Q6" s="26" t="s">
        <v>39</v>
      </c>
      <c r="R6" s="47" t="s">
        <v>40</v>
      </c>
      <c r="S6" s="17"/>
      <c r="T6" s="17"/>
      <c r="U6" s="17"/>
      <c r="V6" s="17"/>
      <c r="W6" s="19"/>
    </row>
    <row r="7" spans="1:23" ht="14.25" customHeight="1" x14ac:dyDescent="0.15">
      <c r="A7" s="29"/>
      <c r="B7" s="30" t="s">
        <v>41</v>
      </c>
      <c r="C7" s="30" t="s">
        <v>42</v>
      </c>
      <c r="D7" s="31" t="s">
        <v>43</v>
      </c>
      <c r="E7" s="32" t="s">
        <v>44</v>
      </c>
      <c r="F7" s="33" t="s">
        <v>45</v>
      </c>
      <c r="G7" s="32" t="s">
        <v>44</v>
      </c>
      <c r="H7" s="32" t="s">
        <v>45</v>
      </c>
      <c r="I7" s="49" t="s">
        <v>44</v>
      </c>
      <c r="J7" s="33" t="s">
        <v>45</v>
      </c>
      <c r="K7" s="32" t="s">
        <v>44</v>
      </c>
      <c r="L7" s="32" t="s">
        <v>45</v>
      </c>
      <c r="M7" s="32" t="s">
        <v>44</v>
      </c>
      <c r="N7" s="32" t="s">
        <v>45</v>
      </c>
      <c r="O7" s="32" t="s">
        <v>44</v>
      </c>
      <c r="P7" s="32" t="s">
        <v>45</v>
      </c>
      <c r="Q7" s="32" t="s">
        <v>44</v>
      </c>
      <c r="R7" s="32" t="s">
        <v>45</v>
      </c>
      <c r="S7" s="17"/>
      <c r="T7" s="17"/>
      <c r="U7" s="17"/>
      <c r="V7" s="17"/>
      <c r="W7" s="19"/>
    </row>
    <row r="8" spans="1:23" ht="14.25" customHeight="1" x14ac:dyDescent="0.15">
      <c r="A8" s="34" t="s">
        <v>46</v>
      </c>
      <c r="B8" s="73">
        <v>1</v>
      </c>
      <c r="C8" s="74" t="s">
        <v>85</v>
      </c>
      <c r="D8" s="181">
        <v>401</v>
      </c>
      <c r="E8" s="75">
        <v>89.289000000000001</v>
      </c>
      <c r="F8" s="76">
        <v>24</v>
      </c>
      <c r="G8" s="75">
        <v>89.322299999999998</v>
      </c>
      <c r="H8" s="76">
        <v>24</v>
      </c>
      <c r="I8" s="75">
        <v>79.200199999999995</v>
      </c>
      <c r="J8" s="76">
        <v>17</v>
      </c>
      <c r="K8" s="75">
        <v>69.500299999999996</v>
      </c>
      <c r="L8" s="76">
        <v>19</v>
      </c>
      <c r="M8" s="75">
        <v>80.173000000000002</v>
      </c>
      <c r="N8" s="76">
        <v>15</v>
      </c>
      <c r="O8" s="167">
        <v>73.160799999999995</v>
      </c>
      <c r="P8" s="168">
        <v>19</v>
      </c>
      <c r="Q8" s="77">
        <f>AVERAGE(E8,G8,I8,K8,M8,O8)</f>
        <v>80.107600000000005</v>
      </c>
      <c r="R8" s="76">
        <f>SUM(F8,H8,J8,L8,N8,P8)</f>
        <v>118</v>
      </c>
      <c r="S8" s="17"/>
      <c r="T8" s="17"/>
      <c r="U8" s="17"/>
      <c r="V8" s="17"/>
      <c r="W8" s="19"/>
    </row>
    <row r="9" spans="1:23" ht="14.25" customHeight="1" x14ac:dyDescent="0.15">
      <c r="A9" s="206" t="s">
        <v>84</v>
      </c>
      <c r="B9" s="79">
        <v>2</v>
      </c>
      <c r="C9" s="74" t="s">
        <v>85</v>
      </c>
      <c r="D9" s="181">
        <v>402</v>
      </c>
      <c r="E9" s="80">
        <v>65.721599999999995</v>
      </c>
      <c r="F9" s="81">
        <v>23</v>
      </c>
      <c r="G9" s="80">
        <v>56.123699999999999</v>
      </c>
      <c r="H9" s="81">
        <v>22</v>
      </c>
      <c r="I9" s="80">
        <v>74.386099999999999</v>
      </c>
      <c r="J9" s="81">
        <v>13</v>
      </c>
      <c r="K9" s="80">
        <v>79.8476</v>
      </c>
      <c r="L9" s="81">
        <v>15</v>
      </c>
      <c r="M9" s="80">
        <v>82.655699999999996</v>
      </c>
      <c r="N9" s="81">
        <v>13</v>
      </c>
      <c r="O9" s="111">
        <v>90.188999999999993</v>
      </c>
      <c r="P9" s="112">
        <v>11</v>
      </c>
      <c r="Q9" s="80">
        <f t="shared" ref="Q9:Q15" si="0">AVERAGE(E9,G9,I9,K9,M9,O9)</f>
        <v>74.820616666666652</v>
      </c>
      <c r="R9" s="81">
        <f t="shared" ref="R9:R15" si="1">SUM(F9,H9,J9,L9,N9,P9)</f>
        <v>97</v>
      </c>
      <c r="S9" s="17"/>
      <c r="T9" s="17"/>
      <c r="U9" s="17"/>
      <c r="V9" s="17"/>
      <c r="W9" s="19"/>
    </row>
    <row r="10" spans="1:23" ht="14.25" customHeight="1" x14ac:dyDescent="0.15">
      <c r="A10" s="206"/>
      <c r="B10" s="79">
        <v>3</v>
      </c>
      <c r="C10" s="74" t="s">
        <v>85</v>
      </c>
      <c r="D10" s="181">
        <v>403</v>
      </c>
      <c r="E10" s="80">
        <v>69.722499999999997</v>
      </c>
      <c r="F10" s="81">
        <v>36</v>
      </c>
      <c r="G10" s="80">
        <v>74.255799999999994</v>
      </c>
      <c r="H10" s="81">
        <v>20</v>
      </c>
      <c r="I10" s="80">
        <v>64.741799999999998</v>
      </c>
      <c r="J10" s="81">
        <v>10</v>
      </c>
      <c r="K10" s="80">
        <v>67.792199999999994</v>
      </c>
      <c r="L10" s="81">
        <v>24</v>
      </c>
      <c r="M10" s="80">
        <v>69.878100000000003</v>
      </c>
      <c r="N10" s="81">
        <v>12</v>
      </c>
      <c r="O10" s="111">
        <v>71.327600000000004</v>
      </c>
      <c r="P10" s="112">
        <v>17</v>
      </c>
      <c r="Q10" s="80">
        <f t="shared" si="0"/>
        <v>69.619666666666674</v>
      </c>
      <c r="R10" s="81">
        <f t="shared" si="1"/>
        <v>119</v>
      </c>
      <c r="S10" s="17"/>
      <c r="T10" s="17"/>
      <c r="U10" s="17"/>
      <c r="V10" s="17"/>
      <c r="W10" s="19"/>
    </row>
    <row r="11" spans="1:23" ht="14.25" customHeight="1" x14ac:dyDescent="0.15">
      <c r="A11" s="35"/>
      <c r="B11" s="79">
        <v>4</v>
      </c>
      <c r="C11" s="74" t="s">
        <v>85</v>
      </c>
      <c r="D11" s="181">
        <v>404</v>
      </c>
      <c r="E11" s="80">
        <v>80.677999999999997</v>
      </c>
      <c r="F11" s="81">
        <v>26</v>
      </c>
      <c r="G11" s="80">
        <v>64.687200000000004</v>
      </c>
      <c r="H11" s="81">
        <v>23</v>
      </c>
      <c r="I11" s="80">
        <v>67.013400000000004</v>
      </c>
      <c r="J11" s="81">
        <v>15</v>
      </c>
      <c r="K11" s="80">
        <v>73.840699999999998</v>
      </c>
      <c r="L11" s="81">
        <v>20</v>
      </c>
      <c r="M11" s="80">
        <v>87.6708</v>
      </c>
      <c r="N11" s="81">
        <v>17</v>
      </c>
      <c r="O11" s="111">
        <v>66.372100000000003</v>
      </c>
      <c r="P11" s="112">
        <v>21</v>
      </c>
      <c r="Q11" s="80">
        <f t="shared" si="0"/>
        <v>73.37703333333333</v>
      </c>
      <c r="R11" s="81">
        <f t="shared" si="1"/>
        <v>122</v>
      </c>
      <c r="S11" s="17"/>
      <c r="T11" s="17"/>
      <c r="U11" s="17"/>
      <c r="V11" s="17"/>
      <c r="W11" s="19"/>
    </row>
    <row r="12" spans="1:23" ht="14.25" customHeight="1" x14ac:dyDescent="0.15">
      <c r="A12" s="35"/>
      <c r="B12" s="79">
        <v>5</v>
      </c>
      <c r="C12" s="74" t="s">
        <v>85</v>
      </c>
      <c r="D12" s="181">
        <v>444</v>
      </c>
      <c r="E12" s="80">
        <v>83.533500000000004</v>
      </c>
      <c r="F12" s="81">
        <v>26</v>
      </c>
      <c r="G12" s="80">
        <v>83.231499999999997</v>
      </c>
      <c r="H12" s="81">
        <v>23</v>
      </c>
      <c r="I12" s="80">
        <v>72.491200000000006</v>
      </c>
      <c r="J12" s="81">
        <v>21</v>
      </c>
      <c r="K12" s="80">
        <v>72.491200000000006</v>
      </c>
      <c r="L12" s="81">
        <v>21</v>
      </c>
      <c r="M12" s="80">
        <v>78.555800000000005</v>
      </c>
      <c r="N12" s="81">
        <v>19</v>
      </c>
      <c r="O12" s="111">
        <v>84.849699999999999</v>
      </c>
      <c r="P12" s="112">
        <v>19</v>
      </c>
      <c r="Q12" s="80">
        <f t="shared" si="0"/>
        <v>79.192149999999984</v>
      </c>
      <c r="R12" s="81">
        <f t="shared" si="1"/>
        <v>129</v>
      </c>
      <c r="S12" s="17"/>
      <c r="T12" s="17"/>
      <c r="U12" s="17"/>
      <c r="V12" s="17"/>
      <c r="W12" s="19"/>
    </row>
    <row r="13" spans="1:23" ht="14.25" customHeight="1" x14ac:dyDescent="0.15">
      <c r="A13" s="35"/>
      <c r="B13" s="79">
        <v>6</v>
      </c>
      <c r="C13" s="74" t="s">
        <v>85</v>
      </c>
      <c r="D13" s="181">
        <v>446</v>
      </c>
      <c r="E13" s="80">
        <v>92.855599999999995</v>
      </c>
      <c r="F13" s="81">
        <v>14</v>
      </c>
      <c r="G13" s="80">
        <v>89.833399999999997</v>
      </c>
      <c r="H13" s="81">
        <v>17</v>
      </c>
      <c r="I13" s="80">
        <v>81.355699999999999</v>
      </c>
      <c r="J13" s="81">
        <v>23</v>
      </c>
      <c r="K13" s="80">
        <v>71.507400000000004</v>
      </c>
      <c r="L13" s="81">
        <v>25</v>
      </c>
      <c r="M13" s="80">
        <v>85.4375</v>
      </c>
      <c r="N13" s="81">
        <v>12</v>
      </c>
      <c r="O13" s="111">
        <v>67.811400000000006</v>
      </c>
      <c r="P13" s="112">
        <v>20</v>
      </c>
      <c r="Q13" s="80">
        <f t="shared" si="0"/>
        <v>81.466833333333327</v>
      </c>
      <c r="R13" s="81">
        <f t="shared" si="1"/>
        <v>111</v>
      </c>
      <c r="S13" s="17"/>
      <c r="T13" s="17"/>
      <c r="U13" s="17"/>
      <c r="V13" s="17"/>
      <c r="W13" s="19"/>
    </row>
    <row r="14" spans="1:23" ht="14.25" customHeight="1" x14ac:dyDescent="0.15">
      <c r="A14" s="35"/>
      <c r="B14" s="79">
        <v>7</v>
      </c>
      <c r="C14" s="74" t="s">
        <v>85</v>
      </c>
      <c r="D14" s="191">
        <v>447</v>
      </c>
      <c r="E14" s="80">
        <v>78.666899999999998</v>
      </c>
      <c r="F14" s="81">
        <v>19</v>
      </c>
      <c r="G14" s="80">
        <v>89.5779</v>
      </c>
      <c r="H14" s="81">
        <v>15</v>
      </c>
      <c r="I14" s="80">
        <v>83.0779</v>
      </c>
      <c r="J14" s="81">
        <v>21</v>
      </c>
      <c r="K14" s="80">
        <v>79.129499999999993</v>
      </c>
      <c r="L14" s="81">
        <v>14</v>
      </c>
      <c r="M14" s="80">
        <v>63.137700000000002</v>
      </c>
      <c r="N14" s="81">
        <v>17</v>
      </c>
      <c r="O14" s="111">
        <v>53.816699999999997</v>
      </c>
      <c r="P14" s="110">
        <v>16</v>
      </c>
      <c r="Q14" s="80">
        <f t="shared" si="0"/>
        <v>74.567766666666671</v>
      </c>
      <c r="R14" s="81">
        <f t="shared" si="1"/>
        <v>102</v>
      </c>
      <c r="S14" s="17"/>
      <c r="T14" s="17"/>
      <c r="U14" s="17"/>
      <c r="V14" s="17"/>
      <c r="W14" s="19"/>
    </row>
    <row r="15" spans="1:23" ht="14.25" customHeight="1" x14ac:dyDescent="0.15">
      <c r="A15" s="35"/>
      <c r="B15" s="79">
        <v>8</v>
      </c>
      <c r="C15" s="74" t="s">
        <v>85</v>
      </c>
      <c r="D15" s="191">
        <v>452</v>
      </c>
      <c r="E15" s="80">
        <v>87.644599999999997</v>
      </c>
      <c r="F15" s="81">
        <v>23</v>
      </c>
      <c r="G15" s="80">
        <v>83.1982</v>
      </c>
      <c r="H15" s="81">
        <v>26</v>
      </c>
      <c r="I15" s="80">
        <v>85.090999999999994</v>
      </c>
      <c r="J15" s="81">
        <v>21</v>
      </c>
      <c r="K15" s="80">
        <v>87.588999999999999</v>
      </c>
      <c r="L15" s="81">
        <v>18</v>
      </c>
      <c r="M15" s="80">
        <v>69.222499999999997</v>
      </c>
      <c r="N15" s="81">
        <v>25</v>
      </c>
      <c r="O15" s="111">
        <v>79.433499999999995</v>
      </c>
      <c r="P15" s="110">
        <v>27</v>
      </c>
      <c r="Q15" s="80">
        <f t="shared" si="0"/>
        <v>82.029800000000009</v>
      </c>
      <c r="R15" s="81">
        <f t="shared" si="1"/>
        <v>140</v>
      </c>
      <c r="S15" s="17"/>
      <c r="T15" s="17"/>
      <c r="U15" s="17"/>
      <c r="V15" s="17"/>
      <c r="W15" s="19"/>
    </row>
    <row r="16" spans="1:23" ht="14.25" customHeight="1" x14ac:dyDescent="0.15">
      <c r="A16" s="35"/>
      <c r="B16" s="79">
        <v>9</v>
      </c>
      <c r="C16" s="84"/>
      <c r="D16" s="85"/>
      <c r="E16" s="80"/>
      <c r="F16" s="81"/>
      <c r="G16" s="80"/>
      <c r="H16" s="81"/>
      <c r="I16" s="80"/>
      <c r="J16" s="81"/>
      <c r="K16" s="80"/>
      <c r="L16" s="81"/>
      <c r="M16" s="80"/>
      <c r="N16" s="81"/>
      <c r="O16" s="111"/>
      <c r="P16" s="110"/>
      <c r="Q16" s="80"/>
      <c r="R16" s="88"/>
      <c r="S16" s="17"/>
      <c r="T16" s="17"/>
      <c r="U16" s="17"/>
      <c r="V16" s="17"/>
      <c r="W16" s="19"/>
    </row>
    <row r="17" spans="1:23" ht="14.25" customHeight="1" x14ac:dyDescent="0.15">
      <c r="A17" s="35"/>
      <c r="B17" s="192">
        <v>10</v>
      </c>
      <c r="C17" s="193"/>
      <c r="D17" s="194"/>
      <c r="E17" s="80"/>
      <c r="F17" s="81"/>
      <c r="G17" s="80"/>
      <c r="H17" s="81"/>
      <c r="I17" s="80"/>
      <c r="J17" s="81"/>
      <c r="K17" s="80"/>
      <c r="L17" s="81"/>
      <c r="M17" s="80"/>
      <c r="N17" s="81"/>
      <c r="O17" s="80"/>
      <c r="P17" s="81"/>
      <c r="Q17" s="87"/>
      <c r="R17" s="88"/>
      <c r="S17" s="17"/>
      <c r="T17" s="17"/>
      <c r="U17" s="17"/>
      <c r="V17" s="17"/>
      <c r="W17" s="19"/>
    </row>
    <row r="18" spans="1:23" ht="14.25" customHeight="1" x14ac:dyDescent="0.15">
      <c r="A18" s="93"/>
      <c r="B18" s="94"/>
      <c r="C18" s="94"/>
      <c r="D18" s="73" t="s">
        <v>47</v>
      </c>
      <c r="E18" s="95">
        <f>AVERAGE(E8:E17)</f>
        <v>81.013962500000005</v>
      </c>
      <c r="F18" s="96">
        <f t="shared" ref="F18:R18" si="2">AVERAGE(F8:F17)</f>
        <v>23.875</v>
      </c>
      <c r="G18" s="95">
        <f t="shared" si="2"/>
        <v>78.778750000000002</v>
      </c>
      <c r="H18" s="96">
        <f t="shared" si="2"/>
        <v>21.25</v>
      </c>
      <c r="I18" s="99">
        <f t="shared" si="2"/>
        <v>75.919662500000001</v>
      </c>
      <c r="J18" s="99">
        <f t="shared" si="2"/>
        <v>17.625</v>
      </c>
      <c r="K18" s="95">
        <f t="shared" si="2"/>
        <v>75.212237499999986</v>
      </c>
      <c r="L18" s="96">
        <f t="shared" si="2"/>
        <v>19.5</v>
      </c>
      <c r="M18" s="99">
        <f t="shared" si="2"/>
        <v>77.091387499999996</v>
      </c>
      <c r="N18" s="99">
        <f t="shared" si="2"/>
        <v>16.25</v>
      </c>
      <c r="O18" s="95">
        <f t="shared" si="2"/>
        <v>73.370099999999994</v>
      </c>
      <c r="P18" s="96">
        <f t="shared" si="2"/>
        <v>18.75</v>
      </c>
      <c r="Q18" s="99">
        <f t="shared" si="2"/>
        <v>76.897683333333333</v>
      </c>
      <c r="R18" s="96">
        <f t="shared" si="2"/>
        <v>117.25</v>
      </c>
      <c r="S18" s="17"/>
      <c r="T18" s="17"/>
      <c r="U18" s="17"/>
      <c r="V18" s="17"/>
      <c r="W18" s="19"/>
    </row>
    <row r="19" spans="1:23" ht="14.25" customHeight="1" x14ac:dyDescent="0.15">
      <c r="A19" s="93"/>
      <c r="B19" s="94"/>
      <c r="C19" s="94"/>
      <c r="D19" s="73" t="s">
        <v>48</v>
      </c>
      <c r="E19" s="101">
        <f>STDEV(E8:E17)/SQRT(COUNT(E8:E17))</f>
        <v>3.3434079506725451</v>
      </c>
      <c r="F19" s="102">
        <f t="shared" ref="F19:R19" si="3">STDEV(F8:F17)/SQRT(COUNT(F8:F17))</f>
        <v>2.2315713554098409</v>
      </c>
      <c r="G19" s="101">
        <f t="shared" si="3"/>
        <v>4.4753931260281377</v>
      </c>
      <c r="H19" s="102">
        <f t="shared" si="3"/>
        <v>1.3058932356273014</v>
      </c>
      <c r="I19" s="103">
        <f t="shared" si="3"/>
        <v>2.6526217370702661</v>
      </c>
      <c r="J19" s="103">
        <f t="shared" si="3"/>
        <v>1.6359521037347902</v>
      </c>
      <c r="K19" s="101">
        <f t="shared" si="3"/>
        <v>2.3172873171738586</v>
      </c>
      <c r="L19" s="102">
        <f t="shared" si="3"/>
        <v>1.3758114488755873</v>
      </c>
      <c r="M19" s="103">
        <f t="shared" si="3"/>
        <v>3.0846401670464587</v>
      </c>
      <c r="N19" s="103">
        <f t="shared" si="3"/>
        <v>1.5439975943726634</v>
      </c>
      <c r="O19" s="101">
        <f t="shared" si="3"/>
        <v>4.0484645390038425</v>
      </c>
      <c r="P19" s="102">
        <f t="shared" si="3"/>
        <v>1.6118977280566795</v>
      </c>
      <c r="Q19" s="103">
        <f t="shared" si="3"/>
        <v>1.5691849347462274</v>
      </c>
      <c r="R19" s="102">
        <f t="shared" si="3"/>
        <v>4.9343909741440513</v>
      </c>
      <c r="S19" s="17"/>
      <c r="T19" s="17"/>
      <c r="U19" s="17"/>
      <c r="V19" s="17"/>
      <c r="W19" s="19"/>
    </row>
    <row r="20" spans="1:23" ht="14.25" customHeight="1" x14ac:dyDescent="0.15">
      <c r="A20" s="36" t="s">
        <v>49</v>
      </c>
      <c r="B20" s="37">
        <v>1</v>
      </c>
      <c r="C20" s="104" t="s">
        <v>85</v>
      </c>
      <c r="D20" s="182">
        <v>405</v>
      </c>
      <c r="E20" s="82"/>
      <c r="F20" s="81"/>
      <c r="G20" s="82"/>
      <c r="H20" s="81"/>
      <c r="I20" s="82"/>
      <c r="J20" s="81"/>
      <c r="K20" s="82"/>
      <c r="L20" s="81"/>
      <c r="M20" s="82"/>
      <c r="N20" s="81"/>
      <c r="O20" s="109"/>
      <c r="P20" s="110"/>
      <c r="Q20" s="75"/>
      <c r="R20" s="76"/>
      <c r="S20" s="17"/>
      <c r="T20" s="17"/>
      <c r="U20" s="17"/>
      <c r="V20" s="17"/>
      <c r="W20" s="19"/>
    </row>
    <row r="21" spans="1:23" ht="14.25" customHeight="1" x14ac:dyDescent="0.15">
      <c r="A21" s="207" t="s">
        <v>83</v>
      </c>
      <c r="B21" s="39">
        <v>2</v>
      </c>
      <c r="C21" s="107" t="s">
        <v>85</v>
      </c>
      <c r="D21" s="183">
        <v>406</v>
      </c>
      <c r="E21" s="82">
        <v>94.711200000000005</v>
      </c>
      <c r="F21" s="81">
        <v>18</v>
      </c>
      <c r="G21" s="82">
        <v>92.3001</v>
      </c>
      <c r="H21" s="81">
        <v>15</v>
      </c>
      <c r="I21" s="82">
        <v>82.500200000000007</v>
      </c>
      <c r="J21" s="81">
        <v>27</v>
      </c>
      <c r="K21" s="82">
        <v>85.811300000000003</v>
      </c>
      <c r="L21" s="81">
        <v>13</v>
      </c>
      <c r="M21" s="82">
        <v>80.411299999999997</v>
      </c>
      <c r="N21" s="81">
        <v>16</v>
      </c>
      <c r="O21" s="109">
        <v>96.922300000000007</v>
      </c>
      <c r="P21" s="110">
        <v>4</v>
      </c>
      <c r="Q21" s="80">
        <f t="shared" ref="Q21:Q22" si="4">AVERAGE(E21,G21,I21,K21,M21,O21)</f>
        <v>88.776066666666679</v>
      </c>
      <c r="R21" s="81">
        <f t="shared" ref="R21:R22" si="5">SUM(F21,H21,J21,L21,N21,P21)</f>
        <v>93</v>
      </c>
      <c r="S21" s="17"/>
      <c r="T21" s="17"/>
      <c r="U21" s="17"/>
      <c r="V21" s="17"/>
      <c r="W21" s="19"/>
    </row>
    <row r="22" spans="1:23" ht="14.25" customHeight="1" x14ac:dyDescent="0.15">
      <c r="A22" s="207"/>
      <c r="B22" s="39">
        <v>3</v>
      </c>
      <c r="C22" s="107" t="s">
        <v>85</v>
      </c>
      <c r="D22" s="183">
        <v>407</v>
      </c>
      <c r="E22" s="82">
        <v>96.555599999999998</v>
      </c>
      <c r="F22" s="81">
        <v>6</v>
      </c>
      <c r="G22" s="82">
        <v>91.933400000000006</v>
      </c>
      <c r="H22" s="81">
        <v>7</v>
      </c>
      <c r="I22" s="82">
        <v>97.611099999999993</v>
      </c>
      <c r="J22" s="81">
        <v>6</v>
      </c>
      <c r="K22" s="82">
        <v>98.211100000000002</v>
      </c>
      <c r="L22" s="81">
        <v>3</v>
      </c>
      <c r="M22" s="82">
        <v>99.622200000000007</v>
      </c>
      <c r="N22" s="81">
        <v>2</v>
      </c>
      <c r="O22" s="109">
        <v>99.811099999999996</v>
      </c>
      <c r="P22" s="110">
        <v>3</v>
      </c>
      <c r="Q22" s="80">
        <f t="shared" si="4"/>
        <v>97.290750000000003</v>
      </c>
      <c r="R22" s="81">
        <f t="shared" si="5"/>
        <v>27</v>
      </c>
      <c r="S22" s="17"/>
      <c r="T22" s="17"/>
      <c r="U22" s="17"/>
      <c r="V22" s="17"/>
      <c r="W22" s="19"/>
    </row>
    <row r="23" spans="1:23" ht="14.25" customHeight="1" x14ac:dyDescent="0.15">
      <c r="A23" s="38"/>
      <c r="B23" s="39">
        <v>4</v>
      </c>
      <c r="C23" s="107" t="s">
        <v>85</v>
      </c>
      <c r="D23" s="183">
        <v>408</v>
      </c>
      <c r="E23" s="109"/>
      <c r="F23" s="110"/>
      <c r="G23" s="109"/>
      <c r="H23" s="110"/>
      <c r="I23" s="109"/>
      <c r="J23" s="110"/>
      <c r="K23" s="109"/>
      <c r="L23" s="110"/>
      <c r="M23" s="109"/>
      <c r="N23" s="110"/>
      <c r="O23" s="109"/>
      <c r="P23" s="110"/>
      <c r="Q23" s="80"/>
      <c r="R23" s="81"/>
      <c r="S23" s="17"/>
      <c r="T23" s="17"/>
      <c r="U23" s="17"/>
      <c r="V23" s="17"/>
      <c r="W23" s="19"/>
    </row>
    <row r="24" spans="1:23" ht="14.25" customHeight="1" x14ac:dyDescent="0.15">
      <c r="A24" s="38"/>
      <c r="B24" s="39">
        <v>5</v>
      </c>
      <c r="C24" s="107" t="s">
        <v>85</v>
      </c>
      <c r="D24" s="183">
        <v>445</v>
      </c>
      <c r="E24" s="109">
        <v>93.411199999999994</v>
      </c>
      <c r="F24" s="110">
        <v>15</v>
      </c>
      <c r="G24" s="109">
        <v>88.722300000000004</v>
      </c>
      <c r="H24" s="110">
        <v>17</v>
      </c>
      <c r="I24" s="109">
        <v>78.122399999999999</v>
      </c>
      <c r="J24" s="110">
        <v>20</v>
      </c>
      <c r="K24" s="109">
        <v>57.174199999999999</v>
      </c>
      <c r="L24" s="110">
        <v>22</v>
      </c>
      <c r="M24" s="109">
        <v>73.048699999999997</v>
      </c>
      <c r="N24" s="110">
        <v>18</v>
      </c>
      <c r="O24" s="109">
        <v>65.427700000000002</v>
      </c>
      <c r="P24" s="110">
        <v>19</v>
      </c>
      <c r="Q24" s="80">
        <f t="shared" ref="Q24:Q27" si="6">AVERAGE(E24,G24,I24,K24,M24,O24)</f>
        <v>75.984416666666661</v>
      </c>
      <c r="R24" s="81">
        <f t="shared" ref="R24:R27" si="7">SUM(F24,H24,J24,L24,N24,P24)</f>
        <v>111</v>
      </c>
      <c r="S24" s="17"/>
      <c r="T24" s="17"/>
      <c r="U24" s="17"/>
      <c r="V24" s="17"/>
      <c r="W24" s="19"/>
    </row>
    <row r="25" spans="1:23" ht="14.25" customHeight="1" x14ac:dyDescent="0.15">
      <c r="A25" s="38"/>
      <c r="B25" s="39">
        <v>6</v>
      </c>
      <c r="C25" s="107" t="s">
        <v>85</v>
      </c>
      <c r="D25" s="183">
        <v>448</v>
      </c>
      <c r="E25" s="109">
        <v>87.444599999999994</v>
      </c>
      <c r="F25" s="110">
        <v>24</v>
      </c>
      <c r="G25" s="109">
        <v>88.322299999999998</v>
      </c>
      <c r="H25" s="110">
        <v>13</v>
      </c>
      <c r="I25" s="109">
        <v>89.088999999999999</v>
      </c>
      <c r="J25" s="110">
        <v>7</v>
      </c>
      <c r="K25" s="109">
        <v>86.333500000000001</v>
      </c>
      <c r="L25" s="110">
        <v>14</v>
      </c>
      <c r="M25" s="109">
        <v>92.3001</v>
      </c>
      <c r="N25" s="110">
        <v>7</v>
      </c>
      <c r="O25" s="109">
        <v>93.377799999999993</v>
      </c>
      <c r="P25" s="110">
        <v>11</v>
      </c>
      <c r="Q25" s="80">
        <f t="shared" si="6"/>
        <v>89.477883333333338</v>
      </c>
      <c r="R25" s="81">
        <f t="shared" si="7"/>
        <v>76</v>
      </c>
      <c r="S25" s="17"/>
      <c r="T25" s="17"/>
      <c r="U25" s="17"/>
      <c r="V25" s="17"/>
      <c r="W25" s="19"/>
    </row>
    <row r="26" spans="1:23" ht="14.25" customHeight="1" x14ac:dyDescent="0.15">
      <c r="A26" s="38"/>
      <c r="B26" s="39">
        <v>7</v>
      </c>
      <c r="C26" s="107" t="s">
        <v>85</v>
      </c>
      <c r="D26" s="190">
        <v>449</v>
      </c>
      <c r="E26" s="111">
        <v>98.1</v>
      </c>
      <c r="F26" s="110">
        <v>7</v>
      </c>
      <c r="G26" s="111">
        <v>94.511200000000002</v>
      </c>
      <c r="H26" s="110">
        <v>10</v>
      </c>
      <c r="I26" s="111">
        <v>98.022199999999998</v>
      </c>
      <c r="J26" s="110">
        <v>7</v>
      </c>
      <c r="K26" s="111">
        <v>98.340500000000006</v>
      </c>
      <c r="L26" s="110">
        <v>7</v>
      </c>
      <c r="M26" s="111">
        <v>84.537499999999994</v>
      </c>
      <c r="N26" s="110">
        <v>18</v>
      </c>
      <c r="O26" s="111">
        <v>89.582999999999998</v>
      </c>
      <c r="P26" s="110">
        <v>14</v>
      </c>
      <c r="Q26" s="80">
        <f t="shared" si="6"/>
        <v>93.849066666666658</v>
      </c>
      <c r="R26" s="81">
        <f t="shared" si="7"/>
        <v>63</v>
      </c>
      <c r="S26" s="17"/>
      <c r="T26" s="17"/>
      <c r="U26" s="17"/>
      <c r="V26" s="17"/>
      <c r="W26" s="19"/>
    </row>
    <row r="27" spans="1:23" ht="14.25" customHeight="1" x14ac:dyDescent="0.15">
      <c r="A27" s="38"/>
      <c r="B27" s="39">
        <v>8</v>
      </c>
      <c r="C27" s="107" t="s">
        <v>85</v>
      </c>
      <c r="D27" s="190">
        <v>451</v>
      </c>
      <c r="E27" s="111">
        <v>93.133399999999995</v>
      </c>
      <c r="F27" s="110">
        <v>19</v>
      </c>
      <c r="G27" s="111">
        <v>86.766800000000003</v>
      </c>
      <c r="H27" s="110">
        <v>15</v>
      </c>
      <c r="I27" s="111">
        <v>94.733400000000003</v>
      </c>
      <c r="J27" s="110">
        <v>9</v>
      </c>
      <c r="K27" s="111">
        <v>88.0779</v>
      </c>
      <c r="L27" s="110">
        <v>13</v>
      </c>
      <c r="M27" s="111">
        <v>96.855599999999995</v>
      </c>
      <c r="N27" s="110">
        <v>11</v>
      </c>
      <c r="O27" s="111">
        <v>91.911199999999994</v>
      </c>
      <c r="P27" s="110">
        <v>12</v>
      </c>
      <c r="Q27" s="80">
        <f t="shared" si="6"/>
        <v>91.913049999999998</v>
      </c>
      <c r="R27" s="81">
        <f t="shared" si="7"/>
        <v>79</v>
      </c>
      <c r="S27" s="17"/>
      <c r="T27" s="17"/>
      <c r="U27" s="17"/>
      <c r="V27" s="17"/>
      <c r="W27" s="19"/>
    </row>
    <row r="28" spans="1:23" ht="14.25" customHeight="1" x14ac:dyDescent="0.15">
      <c r="A28" s="38"/>
      <c r="B28" s="39">
        <v>9</v>
      </c>
      <c r="C28" s="114"/>
      <c r="D28" s="113"/>
      <c r="E28" s="111"/>
      <c r="F28" s="110"/>
      <c r="G28" s="111"/>
      <c r="H28" s="110"/>
      <c r="I28" s="111"/>
      <c r="J28" s="110"/>
      <c r="K28" s="111"/>
      <c r="L28" s="110"/>
      <c r="M28" s="111"/>
      <c r="N28" s="110"/>
      <c r="O28" s="111"/>
      <c r="P28" s="110"/>
      <c r="Q28" s="87"/>
      <c r="R28" s="88"/>
      <c r="S28" s="17"/>
      <c r="T28" s="17"/>
      <c r="U28" s="17"/>
      <c r="V28" s="17"/>
      <c r="W28" s="19"/>
    </row>
    <row r="29" spans="1:23" ht="14.25" customHeight="1" x14ac:dyDescent="0.15">
      <c r="A29" s="38"/>
      <c r="B29" s="195">
        <v>10</v>
      </c>
      <c r="C29" s="196"/>
      <c r="D29" s="197"/>
      <c r="E29" s="116"/>
      <c r="F29" s="169"/>
      <c r="G29" s="116"/>
      <c r="H29" s="169"/>
      <c r="I29" s="116"/>
      <c r="J29" s="169"/>
      <c r="K29" s="116"/>
      <c r="L29" s="169"/>
      <c r="M29" s="116"/>
      <c r="N29" s="169"/>
      <c r="O29" s="116"/>
      <c r="P29" s="169"/>
      <c r="Q29" s="87"/>
      <c r="R29" s="88"/>
      <c r="S29" s="17"/>
      <c r="T29" s="17"/>
      <c r="U29" s="17"/>
      <c r="V29" s="17"/>
      <c r="W29" s="19"/>
    </row>
    <row r="30" spans="1:23" ht="14.25" customHeight="1" x14ac:dyDescent="0.15">
      <c r="A30" s="118"/>
      <c r="B30" s="119"/>
      <c r="C30" s="119"/>
      <c r="D30" s="120" t="s">
        <v>47</v>
      </c>
      <c r="E30" s="95">
        <f>AVERAGE(E20:E29)</f>
        <v>93.89266666666667</v>
      </c>
      <c r="F30" s="99">
        <f t="shared" ref="F30:R30" si="8">AVERAGE(F20:F29)</f>
        <v>14.833333333333334</v>
      </c>
      <c r="G30" s="95">
        <f t="shared" si="8"/>
        <v>90.426016666666669</v>
      </c>
      <c r="H30" s="96">
        <f t="shared" si="8"/>
        <v>12.833333333333334</v>
      </c>
      <c r="I30" s="99">
        <f t="shared" si="8"/>
        <v>90.013050000000007</v>
      </c>
      <c r="J30" s="99">
        <f t="shared" si="8"/>
        <v>12.666666666666666</v>
      </c>
      <c r="K30" s="95">
        <f t="shared" si="8"/>
        <v>85.658083333333323</v>
      </c>
      <c r="L30" s="96">
        <f t="shared" si="8"/>
        <v>12</v>
      </c>
      <c r="M30" s="99">
        <f t="shared" si="8"/>
        <v>87.795900000000003</v>
      </c>
      <c r="N30" s="99">
        <f t="shared" si="8"/>
        <v>12</v>
      </c>
      <c r="O30" s="95">
        <f t="shared" si="8"/>
        <v>89.505516666666665</v>
      </c>
      <c r="P30" s="96">
        <f t="shared" si="8"/>
        <v>10.5</v>
      </c>
      <c r="Q30" s="99">
        <f t="shared" si="8"/>
        <v>89.548538888888899</v>
      </c>
      <c r="R30" s="96">
        <f t="shared" si="8"/>
        <v>74.833333333333329</v>
      </c>
      <c r="S30" s="17"/>
      <c r="T30" s="17"/>
      <c r="U30" s="17"/>
      <c r="V30" s="17"/>
      <c r="W30" s="19"/>
    </row>
    <row r="31" spans="1:23" ht="14.25" customHeight="1" x14ac:dyDescent="0.15">
      <c r="A31" s="121"/>
      <c r="B31" s="122"/>
      <c r="C31" s="122"/>
      <c r="D31" s="123" t="s">
        <v>48</v>
      </c>
      <c r="E31" s="101">
        <f>STDEV(E20:E29)/SQRT(COUNT(E20:E29))</f>
        <v>1.5038697227855586</v>
      </c>
      <c r="F31" s="103">
        <f t="shared" ref="F31:R31" si="9">STDEV(F20:F29)/SQRT(COUNT(F20:F29))</f>
        <v>2.8915585954829117</v>
      </c>
      <c r="G31" s="101">
        <f t="shared" si="9"/>
        <v>1.199878558137355</v>
      </c>
      <c r="H31" s="102">
        <f t="shared" si="9"/>
        <v>1.5147423690002357</v>
      </c>
      <c r="I31" s="103">
        <f t="shared" si="9"/>
        <v>3.3805467634442401</v>
      </c>
      <c r="J31" s="103">
        <f t="shared" si="9"/>
        <v>3.5652645218989174</v>
      </c>
      <c r="K31" s="101">
        <f t="shared" si="9"/>
        <v>6.1538299873827516</v>
      </c>
      <c r="L31" s="102">
        <f t="shared" si="9"/>
        <v>2.6583202716502514</v>
      </c>
      <c r="M31" s="103">
        <f t="shared" si="9"/>
        <v>4.1827293680083946</v>
      </c>
      <c r="N31" s="103">
        <f t="shared" si="9"/>
        <v>2.6708300832013507</v>
      </c>
      <c r="O31" s="101">
        <f t="shared" si="9"/>
        <v>5.0389908793604752</v>
      </c>
      <c r="P31" s="102">
        <f t="shared" si="9"/>
        <v>2.486630920207769</v>
      </c>
      <c r="Q31" s="103">
        <f t="shared" si="9"/>
        <v>2.9922923322654444</v>
      </c>
      <c r="R31" s="102">
        <f t="shared" si="9"/>
        <v>11.668809327052664</v>
      </c>
      <c r="S31" s="17"/>
      <c r="T31" s="17"/>
      <c r="U31" s="17"/>
      <c r="V31" s="17"/>
      <c r="W31" s="19"/>
    </row>
    <row r="32" spans="1:23" ht="14.25" customHeight="1" x14ac:dyDescent="0.15">
      <c r="A32" s="51" t="s">
        <v>58</v>
      </c>
      <c r="B32" s="40">
        <v>1</v>
      </c>
      <c r="C32" s="124" t="s">
        <v>85</v>
      </c>
      <c r="D32" s="184"/>
      <c r="E32" s="125"/>
      <c r="F32" s="126"/>
      <c r="G32" s="125"/>
      <c r="H32" s="127"/>
      <c r="I32" s="170"/>
      <c r="J32" s="126"/>
      <c r="K32" s="125"/>
      <c r="L32" s="127"/>
      <c r="M32" s="170"/>
      <c r="N32" s="126"/>
      <c r="O32" s="125"/>
      <c r="P32" s="127"/>
      <c r="Q32" s="80"/>
      <c r="R32" s="81"/>
      <c r="S32" s="17"/>
      <c r="T32" s="17"/>
      <c r="U32" s="17"/>
      <c r="V32" s="17"/>
      <c r="W32" s="19"/>
    </row>
    <row r="33" spans="1:23" ht="14.25" customHeight="1" x14ac:dyDescent="0.15">
      <c r="A33" s="208"/>
      <c r="B33" s="41">
        <v>2</v>
      </c>
      <c r="C33" s="124" t="s">
        <v>85</v>
      </c>
      <c r="D33" s="185"/>
      <c r="E33" s="129"/>
      <c r="F33" s="126"/>
      <c r="G33" s="129"/>
      <c r="H33" s="130"/>
      <c r="I33" s="128"/>
      <c r="J33" s="126"/>
      <c r="K33" s="129"/>
      <c r="L33" s="130"/>
      <c r="M33" s="128"/>
      <c r="N33" s="126"/>
      <c r="O33" s="129"/>
      <c r="P33" s="130"/>
      <c r="Q33" s="80"/>
      <c r="R33" s="81"/>
      <c r="S33" s="17"/>
      <c r="T33" s="17"/>
      <c r="U33" s="17"/>
      <c r="V33" s="17"/>
      <c r="W33" s="19"/>
    </row>
    <row r="34" spans="1:23" ht="14.25" customHeight="1" x14ac:dyDescent="0.15">
      <c r="A34" s="208"/>
      <c r="B34" s="43">
        <v>3</v>
      </c>
      <c r="C34" s="124" t="s">
        <v>85</v>
      </c>
      <c r="D34" s="185"/>
      <c r="E34" s="128"/>
      <c r="F34" s="126"/>
      <c r="G34" s="129"/>
      <c r="H34" s="130"/>
      <c r="I34" s="128"/>
      <c r="J34" s="126"/>
      <c r="K34" s="129"/>
      <c r="L34" s="130"/>
      <c r="M34" s="128"/>
      <c r="N34" s="126"/>
      <c r="O34" s="129"/>
      <c r="P34" s="130"/>
      <c r="Q34" s="80"/>
      <c r="R34" s="81"/>
      <c r="S34" s="17"/>
      <c r="T34" s="17"/>
      <c r="U34" s="17"/>
      <c r="V34" s="17"/>
      <c r="W34" s="19"/>
    </row>
    <row r="35" spans="1:23" ht="14.25" customHeight="1" x14ac:dyDescent="0.15">
      <c r="A35" s="42"/>
      <c r="B35" s="43">
        <v>4</v>
      </c>
      <c r="C35" s="124" t="s">
        <v>85</v>
      </c>
      <c r="D35" s="185"/>
      <c r="E35" s="128"/>
      <c r="F35" s="126"/>
      <c r="G35" s="129"/>
      <c r="H35" s="130"/>
      <c r="I35" s="128"/>
      <c r="J35" s="126"/>
      <c r="K35" s="129"/>
      <c r="L35" s="130"/>
      <c r="M35" s="128"/>
      <c r="N35" s="126"/>
      <c r="O35" s="129"/>
      <c r="P35" s="130"/>
      <c r="Q35" s="80"/>
      <c r="R35" s="81"/>
      <c r="S35" s="17"/>
      <c r="T35" s="17"/>
      <c r="U35" s="17"/>
      <c r="V35" s="17"/>
      <c r="W35" s="19"/>
    </row>
    <row r="36" spans="1:23" ht="14.25" customHeight="1" x14ac:dyDescent="0.15">
      <c r="A36" s="42"/>
      <c r="B36" s="43">
        <v>5</v>
      </c>
      <c r="C36" s="124" t="s">
        <v>85</v>
      </c>
      <c r="D36" s="185"/>
      <c r="E36" s="128"/>
      <c r="F36" s="126"/>
      <c r="G36" s="129"/>
      <c r="H36" s="130"/>
      <c r="I36" s="128"/>
      <c r="J36" s="126"/>
      <c r="K36" s="129"/>
      <c r="L36" s="130"/>
      <c r="M36" s="128"/>
      <c r="N36" s="126"/>
      <c r="O36" s="129"/>
      <c r="P36" s="130"/>
      <c r="Q36" s="80"/>
      <c r="R36" s="81"/>
      <c r="S36" s="17"/>
      <c r="T36" s="17"/>
      <c r="U36" s="17"/>
      <c r="V36" s="17"/>
      <c r="W36" s="19"/>
    </row>
    <row r="37" spans="1:23" ht="14.25" customHeight="1" x14ac:dyDescent="0.15">
      <c r="A37" s="42"/>
      <c r="B37" s="43">
        <v>6</v>
      </c>
      <c r="C37" s="124" t="s">
        <v>85</v>
      </c>
      <c r="D37" s="185"/>
      <c r="E37" s="128"/>
      <c r="F37" s="126"/>
      <c r="G37" s="129"/>
      <c r="H37" s="130"/>
      <c r="I37" s="128"/>
      <c r="J37" s="126"/>
      <c r="K37" s="129"/>
      <c r="L37" s="130"/>
      <c r="M37" s="128"/>
      <c r="N37" s="126"/>
      <c r="O37" s="129"/>
      <c r="P37" s="130"/>
      <c r="Q37" s="80"/>
      <c r="R37" s="81"/>
      <c r="S37" s="17"/>
      <c r="T37" s="17"/>
      <c r="U37" s="17"/>
      <c r="V37" s="17"/>
      <c r="W37" s="19"/>
    </row>
    <row r="38" spans="1:23" ht="14.25" customHeight="1" x14ac:dyDescent="0.15">
      <c r="A38" s="42"/>
      <c r="B38" s="43">
        <v>7</v>
      </c>
      <c r="C38" s="124" t="s">
        <v>85</v>
      </c>
      <c r="D38" s="186"/>
      <c r="E38" s="128"/>
      <c r="F38" s="126"/>
      <c r="G38" s="129"/>
      <c r="H38" s="130"/>
      <c r="I38" s="128"/>
      <c r="J38" s="126"/>
      <c r="K38" s="129"/>
      <c r="L38" s="130"/>
      <c r="M38" s="128"/>
      <c r="N38" s="126"/>
      <c r="O38" s="129"/>
      <c r="P38" s="130"/>
      <c r="Q38" s="80"/>
      <c r="R38" s="81"/>
      <c r="S38" s="17"/>
      <c r="T38" s="17"/>
      <c r="U38" s="17"/>
      <c r="V38" s="17"/>
      <c r="W38" s="19"/>
    </row>
    <row r="39" spans="1:23" ht="14.25" customHeight="1" x14ac:dyDescent="0.15">
      <c r="A39" s="42"/>
      <c r="B39" s="43">
        <v>8</v>
      </c>
      <c r="C39" s="124" t="s">
        <v>85</v>
      </c>
      <c r="D39" s="186"/>
      <c r="E39" s="128"/>
      <c r="F39" s="126"/>
      <c r="G39" s="129"/>
      <c r="H39" s="130"/>
      <c r="I39" s="128"/>
      <c r="J39" s="126"/>
      <c r="K39" s="129"/>
      <c r="L39" s="130"/>
      <c r="M39" s="128"/>
      <c r="N39" s="126"/>
      <c r="O39" s="129"/>
      <c r="P39" s="130"/>
      <c r="Q39" s="80"/>
      <c r="R39" s="81"/>
      <c r="S39" s="17"/>
      <c r="T39" s="17"/>
      <c r="U39" s="17"/>
      <c r="V39" s="17"/>
      <c r="W39" s="19"/>
    </row>
    <row r="40" spans="1:23" ht="14.25" customHeight="1" x14ac:dyDescent="0.15">
      <c r="A40" s="42"/>
      <c r="B40" s="43">
        <v>9</v>
      </c>
      <c r="C40" s="132"/>
      <c r="D40" s="131"/>
      <c r="E40" s="128"/>
      <c r="F40" s="126"/>
      <c r="G40" s="129"/>
      <c r="H40" s="130"/>
      <c r="I40" s="128"/>
      <c r="J40" s="126"/>
      <c r="K40" s="129"/>
      <c r="L40" s="130"/>
      <c r="M40" s="128"/>
      <c r="N40" s="126"/>
      <c r="O40" s="129"/>
      <c r="P40" s="130"/>
      <c r="Q40" s="129"/>
      <c r="R40" s="130"/>
      <c r="S40" s="17"/>
      <c r="T40" s="17"/>
      <c r="U40" s="17"/>
      <c r="V40" s="17"/>
      <c r="W40" s="19"/>
    </row>
    <row r="41" spans="1:23" ht="14.25" customHeight="1" x14ac:dyDescent="0.15">
      <c r="A41" s="42"/>
      <c r="B41" s="198">
        <v>10</v>
      </c>
      <c r="C41" s="199"/>
      <c r="D41" s="200"/>
      <c r="E41" s="128"/>
      <c r="F41" s="126"/>
      <c r="G41" s="134"/>
      <c r="H41" s="135"/>
      <c r="I41" s="128"/>
      <c r="J41" s="126"/>
      <c r="K41" s="134"/>
      <c r="L41" s="135"/>
      <c r="M41" s="128"/>
      <c r="N41" s="126"/>
      <c r="O41" s="134"/>
      <c r="P41" s="135"/>
      <c r="Q41" s="134"/>
      <c r="R41" s="135"/>
      <c r="S41" s="17"/>
      <c r="T41" s="17"/>
      <c r="U41" s="17"/>
      <c r="V41" s="17"/>
      <c r="W41" s="19"/>
    </row>
    <row r="42" spans="1:23" ht="14.25" customHeight="1" x14ac:dyDescent="0.15">
      <c r="A42" s="137"/>
      <c r="B42" s="138"/>
      <c r="C42" s="138"/>
      <c r="D42" s="139" t="s">
        <v>47</v>
      </c>
      <c r="E42" s="95" t="e">
        <f>AVERAGE(E32:E41)</f>
        <v>#DIV/0!</v>
      </c>
      <c r="F42" s="99" t="e">
        <f t="shared" ref="F42:R42" si="10">AVERAGE(F32:F41)</f>
        <v>#DIV/0!</v>
      </c>
      <c r="G42" s="95" t="e">
        <f t="shared" si="10"/>
        <v>#DIV/0!</v>
      </c>
      <c r="H42" s="96" t="e">
        <f t="shared" si="10"/>
        <v>#DIV/0!</v>
      </c>
      <c r="I42" s="99" t="e">
        <f t="shared" si="10"/>
        <v>#DIV/0!</v>
      </c>
      <c r="J42" s="99" t="e">
        <f t="shared" si="10"/>
        <v>#DIV/0!</v>
      </c>
      <c r="K42" s="95" t="e">
        <f t="shared" si="10"/>
        <v>#DIV/0!</v>
      </c>
      <c r="L42" s="96" t="e">
        <f t="shared" si="10"/>
        <v>#DIV/0!</v>
      </c>
      <c r="M42" s="99" t="e">
        <f t="shared" si="10"/>
        <v>#DIV/0!</v>
      </c>
      <c r="N42" s="99" t="e">
        <f t="shared" si="10"/>
        <v>#DIV/0!</v>
      </c>
      <c r="O42" s="95" t="e">
        <f t="shared" si="10"/>
        <v>#DIV/0!</v>
      </c>
      <c r="P42" s="96" t="e">
        <f t="shared" si="10"/>
        <v>#DIV/0!</v>
      </c>
      <c r="Q42" s="99" t="e">
        <f t="shared" si="10"/>
        <v>#DIV/0!</v>
      </c>
      <c r="R42" s="96" t="e">
        <f t="shared" si="10"/>
        <v>#DIV/0!</v>
      </c>
      <c r="S42" s="17"/>
      <c r="T42" s="17"/>
      <c r="U42" s="17"/>
      <c r="V42" s="17"/>
      <c r="W42" s="19"/>
    </row>
    <row r="43" spans="1:23" ht="14.25" customHeight="1" x14ac:dyDescent="0.15">
      <c r="A43" s="140"/>
      <c r="B43" s="141"/>
      <c r="C43" s="141"/>
      <c r="D43" s="142" t="s">
        <v>48</v>
      </c>
      <c r="E43" s="101" t="e">
        <f>STDEV(E32:E41)/SQRT(COUNT(E32:E41))</f>
        <v>#DIV/0!</v>
      </c>
      <c r="F43" s="103" t="e">
        <f t="shared" ref="F43:R43" si="11">STDEV(F32:F41)/SQRT(COUNT(F32:F41))</f>
        <v>#DIV/0!</v>
      </c>
      <c r="G43" s="101" t="e">
        <f t="shared" si="11"/>
        <v>#DIV/0!</v>
      </c>
      <c r="H43" s="102" t="e">
        <f t="shared" si="11"/>
        <v>#DIV/0!</v>
      </c>
      <c r="I43" s="103" t="e">
        <f t="shared" si="11"/>
        <v>#DIV/0!</v>
      </c>
      <c r="J43" s="103" t="e">
        <f t="shared" si="11"/>
        <v>#DIV/0!</v>
      </c>
      <c r="K43" s="101" t="e">
        <f t="shared" si="11"/>
        <v>#DIV/0!</v>
      </c>
      <c r="L43" s="102" t="e">
        <f t="shared" si="11"/>
        <v>#DIV/0!</v>
      </c>
      <c r="M43" s="103" t="e">
        <f t="shared" si="11"/>
        <v>#DIV/0!</v>
      </c>
      <c r="N43" s="103" t="e">
        <f t="shared" si="11"/>
        <v>#DIV/0!</v>
      </c>
      <c r="O43" s="101" t="e">
        <f t="shared" si="11"/>
        <v>#DIV/0!</v>
      </c>
      <c r="P43" s="102" t="e">
        <f t="shared" si="11"/>
        <v>#DIV/0!</v>
      </c>
      <c r="Q43" s="103" t="e">
        <f t="shared" si="11"/>
        <v>#DIV/0!</v>
      </c>
      <c r="R43" s="102" t="e">
        <f t="shared" si="11"/>
        <v>#DIV/0!</v>
      </c>
      <c r="S43" s="17"/>
      <c r="T43" s="17"/>
      <c r="U43" s="17"/>
      <c r="V43" s="17"/>
      <c r="W43" s="19"/>
    </row>
    <row r="44" spans="1:23" ht="14.25" customHeight="1" x14ac:dyDescent="0.15">
      <c r="A44" s="52" t="s">
        <v>64</v>
      </c>
      <c r="B44" s="53">
        <v>1</v>
      </c>
      <c r="C44" s="143" t="s">
        <v>85</v>
      </c>
      <c r="D44" s="187"/>
      <c r="E44" s="125"/>
      <c r="F44" s="126"/>
      <c r="G44" s="125"/>
      <c r="H44" s="127"/>
      <c r="I44" s="170"/>
      <c r="J44" s="126"/>
      <c r="K44" s="125"/>
      <c r="L44" s="127"/>
      <c r="M44" s="170"/>
      <c r="N44" s="126"/>
      <c r="O44" s="125"/>
      <c r="P44" s="127"/>
      <c r="Q44" s="80"/>
      <c r="R44" s="81"/>
      <c r="S44" s="17"/>
      <c r="T44" s="17"/>
      <c r="U44" s="17"/>
      <c r="V44" s="17"/>
      <c r="W44" s="19"/>
    </row>
    <row r="45" spans="1:23" ht="14.25" customHeight="1" x14ac:dyDescent="0.15">
      <c r="A45" s="209"/>
      <c r="B45" s="54">
        <v>2</v>
      </c>
      <c r="C45" s="143" t="s">
        <v>85</v>
      </c>
      <c r="D45" s="187"/>
      <c r="E45" s="129"/>
      <c r="F45" s="126"/>
      <c r="G45" s="129"/>
      <c r="H45" s="130"/>
      <c r="I45" s="128"/>
      <c r="J45" s="126"/>
      <c r="K45" s="129"/>
      <c r="L45" s="130"/>
      <c r="M45" s="128"/>
      <c r="N45" s="126"/>
      <c r="O45" s="129"/>
      <c r="P45" s="130"/>
      <c r="Q45" s="80"/>
      <c r="R45" s="81"/>
      <c r="S45" s="17"/>
      <c r="T45" s="17"/>
      <c r="U45" s="17"/>
      <c r="V45" s="17"/>
      <c r="W45" s="19"/>
    </row>
    <row r="46" spans="1:23" ht="14.25" customHeight="1" x14ac:dyDescent="0.15">
      <c r="A46" s="209"/>
      <c r="B46" s="56">
        <v>3</v>
      </c>
      <c r="C46" s="143" t="s">
        <v>85</v>
      </c>
      <c r="D46" s="188"/>
      <c r="E46" s="128"/>
      <c r="F46" s="126"/>
      <c r="G46" s="129"/>
      <c r="H46" s="130"/>
      <c r="I46" s="128"/>
      <c r="J46" s="126"/>
      <c r="K46" s="129"/>
      <c r="L46" s="130"/>
      <c r="M46" s="128"/>
      <c r="N46" s="126"/>
      <c r="O46" s="129"/>
      <c r="P46" s="130"/>
      <c r="Q46" s="80"/>
      <c r="R46" s="81"/>
      <c r="S46" s="17"/>
      <c r="T46" s="17"/>
      <c r="U46" s="17"/>
      <c r="V46" s="17"/>
      <c r="W46" s="19"/>
    </row>
    <row r="47" spans="1:23" ht="14.25" customHeight="1" x14ac:dyDescent="0.15">
      <c r="A47" s="55"/>
      <c r="B47" s="56">
        <v>4</v>
      </c>
      <c r="C47" s="143" t="s">
        <v>85</v>
      </c>
      <c r="D47" s="188"/>
      <c r="E47" s="128"/>
      <c r="F47" s="126"/>
      <c r="G47" s="129"/>
      <c r="H47" s="130"/>
      <c r="I47" s="128"/>
      <c r="J47" s="126"/>
      <c r="K47" s="129"/>
      <c r="L47" s="130"/>
      <c r="M47" s="128"/>
      <c r="N47" s="126"/>
      <c r="O47" s="129"/>
      <c r="P47" s="130"/>
      <c r="Q47" s="80"/>
      <c r="R47" s="81"/>
      <c r="S47" s="17"/>
      <c r="T47" s="17"/>
      <c r="U47" s="17"/>
      <c r="V47" s="17"/>
      <c r="W47" s="19"/>
    </row>
    <row r="48" spans="1:23" ht="14.25" customHeight="1" x14ac:dyDescent="0.15">
      <c r="A48" s="55"/>
      <c r="B48" s="56">
        <v>5</v>
      </c>
      <c r="C48" s="143" t="s">
        <v>85</v>
      </c>
      <c r="D48" s="188"/>
      <c r="E48" s="128"/>
      <c r="F48" s="126"/>
      <c r="G48" s="129"/>
      <c r="H48" s="130"/>
      <c r="I48" s="128"/>
      <c r="J48" s="126"/>
      <c r="K48" s="129"/>
      <c r="L48" s="130"/>
      <c r="M48" s="128"/>
      <c r="N48" s="126"/>
      <c r="O48" s="129"/>
      <c r="P48" s="130"/>
      <c r="Q48" s="80"/>
      <c r="R48" s="81"/>
      <c r="S48" s="17"/>
      <c r="T48" s="17"/>
      <c r="U48" s="17"/>
      <c r="V48" s="17"/>
      <c r="W48" s="19"/>
    </row>
    <row r="49" spans="1:23" ht="14.25" customHeight="1" x14ac:dyDescent="0.15">
      <c r="A49" s="55"/>
      <c r="B49" s="56">
        <v>6</v>
      </c>
      <c r="C49" s="143" t="s">
        <v>85</v>
      </c>
      <c r="D49" s="188"/>
      <c r="E49" s="128"/>
      <c r="F49" s="126"/>
      <c r="G49" s="129"/>
      <c r="H49" s="130"/>
      <c r="I49" s="128"/>
      <c r="J49" s="126"/>
      <c r="K49" s="129"/>
      <c r="L49" s="130"/>
      <c r="M49" s="128"/>
      <c r="N49" s="126"/>
      <c r="O49" s="129"/>
      <c r="P49" s="130"/>
      <c r="Q49" s="80"/>
      <c r="R49" s="81"/>
      <c r="S49" s="17"/>
      <c r="T49" s="17"/>
      <c r="U49" s="17"/>
      <c r="V49" s="17"/>
      <c r="W49" s="19"/>
    </row>
    <row r="50" spans="1:23" ht="14.25" customHeight="1" x14ac:dyDescent="0.15">
      <c r="A50" s="55"/>
      <c r="B50" s="56">
        <v>7</v>
      </c>
      <c r="C50" s="143" t="s">
        <v>85</v>
      </c>
      <c r="D50" s="189"/>
      <c r="E50" s="128"/>
      <c r="F50" s="126"/>
      <c r="G50" s="129"/>
      <c r="H50" s="130"/>
      <c r="I50" s="128"/>
      <c r="J50" s="126"/>
      <c r="K50" s="129"/>
      <c r="L50" s="130"/>
      <c r="M50" s="128"/>
      <c r="N50" s="126"/>
      <c r="O50" s="129"/>
      <c r="P50" s="130"/>
      <c r="Q50" s="80"/>
      <c r="R50" s="81"/>
      <c r="S50" s="17"/>
      <c r="T50" s="17"/>
      <c r="U50" s="17"/>
      <c r="V50" s="17"/>
      <c r="W50" s="19"/>
    </row>
    <row r="51" spans="1:23" ht="14.25" customHeight="1" x14ac:dyDescent="0.15">
      <c r="A51" s="55"/>
      <c r="B51" s="56">
        <v>8</v>
      </c>
      <c r="C51" s="143" t="s">
        <v>85</v>
      </c>
      <c r="D51" s="189"/>
      <c r="E51" s="128"/>
      <c r="F51" s="126"/>
      <c r="G51" s="129"/>
      <c r="H51" s="130"/>
      <c r="I51" s="128"/>
      <c r="J51" s="126"/>
      <c r="K51" s="129"/>
      <c r="L51" s="130"/>
      <c r="M51" s="128"/>
      <c r="N51" s="126"/>
      <c r="O51" s="129"/>
      <c r="P51" s="130"/>
      <c r="Q51" s="129"/>
      <c r="R51" s="130"/>
      <c r="S51" s="17"/>
      <c r="T51" s="17"/>
      <c r="U51" s="17"/>
      <c r="V51" s="17"/>
      <c r="W51" s="19"/>
    </row>
    <row r="52" spans="1:23" ht="14.25" customHeight="1" x14ac:dyDescent="0.15">
      <c r="A52" s="55"/>
      <c r="B52" s="56">
        <v>9</v>
      </c>
      <c r="C52" s="145"/>
      <c r="D52" s="144"/>
      <c r="E52" s="128"/>
      <c r="F52" s="126"/>
      <c r="G52" s="129"/>
      <c r="H52" s="130"/>
      <c r="I52" s="128"/>
      <c r="J52" s="126"/>
      <c r="K52" s="129"/>
      <c r="L52" s="130"/>
      <c r="M52" s="128"/>
      <c r="N52" s="126"/>
      <c r="O52" s="129"/>
      <c r="P52" s="130"/>
      <c r="Q52" s="129"/>
      <c r="R52" s="130"/>
      <c r="S52" s="17"/>
      <c r="T52" s="17"/>
      <c r="U52" s="17"/>
      <c r="V52" s="17"/>
      <c r="W52" s="19"/>
    </row>
    <row r="53" spans="1:23" ht="14.25" customHeight="1" x14ac:dyDescent="0.15">
      <c r="A53" s="55"/>
      <c r="B53" s="201">
        <v>10</v>
      </c>
      <c r="C53" s="202"/>
      <c r="D53" s="203"/>
      <c r="E53" s="128"/>
      <c r="F53" s="126"/>
      <c r="G53" s="134"/>
      <c r="H53" s="135"/>
      <c r="I53" s="128"/>
      <c r="J53" s="126"/>
      <c r="K53" s="134"/>
      <c r="L53" s="135"/>
      <c r="M53" s="128"/>
      <c r="N53" s="126"/>
      <c r="O53" s="134"/>
      <c r="P53" s="135"/>
      <c r="Q53" s="134"/>
      <c r="R53" s="135"/>
      <c r="S53" s="17"/>
      <c r="T53" s="17"/>
      <c r="U53" s="17"/>
      <c r="V53" s="17"/>
      <c r="W53" s="19"/>
    </row>
    <row r="54" spans="1:23" ht="14.25" customHeight="1" x14ac:dyDescent="0.15">
      <c r="A54" s="146"/>
      <c r="B54" s="147"/>
      <c r="C54" s="147"/>
      <c r="D54" s="148" t="s">
        <v>47</v>
      </c>
      <c r="E54" s="95" t="e">
        <f>AVERAGE(E44:E53)</f>
        <v>#DIV/0!</v>
      </c>
      <c r="F54" s="99" t="e">
        <f t="shared" ref="F54:Q54" si="12">AVERAGE(F44:F53)</f>
        <v>#DIV/0!</v>
      </c>
      <c r="G54" s="95" t="e">
        <f t="shared" si="12"/>
        <v>#DIV/0!</v>
      </c>
      <c r="H54" s="96" t="e">
        <f t="shared" si="12"/>
        <v>#DIV/0!</v>
      </c>
      <c r="I54" s="99" t="e">
        <f t="shared" si="12"/>
        <v>#DIV/0!</v>
      </c>
      <c r="J54" s="99" t="e">
        <f t="shared" si="12"/>
        <v>#DIV/0!</v>
      </c>
      <c r="K54" s="95" t="e">
        <f t="shared" si="12"/>
        <v>#DIV/0!</v>
      </c>
      <c r="L54" s="96" t="e">
        <f t="shared" si="12"/>
        <v>#DIV/0!</v>
      </c>
      <c r="M54" s="99" t="e">
        <f t="shared" si="12"/>
        <v>#DIV/0!</v>
      </c>
      <c r="N54" s="99" t="e">
        <f t="shared" si="12"/>
        <v>#DIV/0!</v>
      </c>
      <c r="O54" s="95" t="e">
        <f t="shared" si="12"/>
        <v>#DIV/0!</v>
      </c>
      <c r="P54" s="96" t="e">
        <f t="shared" si="12"/>
        <v>#DIV/0!</v>
      </c>
      <c r="Q54" s="99" t="e">
        <f t="shared" si="12"/>
        <v>#DIV/0!</v>
      </c>
      <c r="R54" s="96" t="e">
        <f>AVERAGE(R44:R53)</f>
        <v>#DIV/0!</v>
      </c>
      <c r="S54" s="17"/>
      <c r="T54" s="17"/>
      <c r="U54" s="17"/>
      <c r="V54" s="17"/>
      <c r="W54" s="19"/>
    </row>
    <row r="55" spans="1:23" ht="14.25" customHeight="1" x14ac:dyDescent="0.15">
      <c r="A55" s="149"/>
      <c r="B55" s="150"/>
      <c r="C55" s="150"/>
      <c r="D55" s="151" t="s">
        <v>48</v>
      </c>
      <c r="E55" s="101" t="e">
        <f>STDEV(E44:E53)/SQRT(COUNT(E44:E53))</f>
        <v>#DIV/0!</v>
      </c>
      <c r="F55" s="103" t="e">
        <f t="shared" ref="F55:Q55" si="13">STDEV(F44:F53)/SQRT(COUNT(F44:F53))</f>
        <v>#DIV/0!</v>
      </c>
      <c r="G55" s="101" t="e">
        <f t="shared" si="13"/>
        <v>#DIV/0!</v>
      </c>
      <c r="H55" s="102" t="e">
        <f t="shared" si="13"/>
        <v>#DIV/0!</v>
      </c>
      <c r="I55" s="103" t="e">
        <f t="shared" si="13"/>
        <v>#DIV/0!</v>
      </c>
      <c r="J55" s="103" t="e">
        <f t="shared" si="13"/>
        <v>#DIV/0!</v>
      </c>
      <c r="K55" s="101" t="e">
        <f t="shared" si="13"/>
        <v>#DIV/0!</v>
      </c>
      <c r="L55" s="102" t="e">
        <f t="shared" si="13"/>
        <v>#DIV/0!</v>
      </c>
      <c r="M55" s="103" t="e">
        <f t="shared" si="13"/>
        <v>#DIV/0!</v>
      </c>
      <c r="N55" s="103" t="e">
        <f t="shared" si="13"/>
        <v>#DIV/0!</v>
      </c>
      <c r="O55" s="101" t="e">
        <f t="shared" si="13"/>
        <v>#DIV/0!</v>
      </c>
      <c r="P55" s="102" t="e">
        <f t="shared" si="13"/>
        <v>#DIV/0!</v>
      </c>
      <c r="Q55" s="103" t="e">
        <f t="shared" si="13"/>
        <v>#DIV/0!</v>
      </c>
      <c r="R55" s="102" t="e">
        <f>STDEV(R44:R53)/SQRT(COUNT(R44:R53))</f>
        <v>#DIV/0!</v>
      </c>
      <c r="S55" s="17"/>
      <c r="T55" s="17"/>
      <c r="U55" s="17"/>
      <c r="V55" s="17"/>
      <c r="W55" s="19"/>
    </row>
    <row r="56" spans="1:23" ht="14.25" customHeight="1" x14ac:dyDescent="0.15">
      <c r="A56" s="171"/>
      <c r="B56" s="152"/>
      <c r="C56" s="152" t="s">
        <v>50</v>
      </c>
      <c r="D56" s="152" t="s">
        <v>51</v>
      </c>
      <c r="E56" s="153">
        <f>TTEST(E8:E17,E20:E29,2,2)</f>
        <v>8.5938793954033078E-3</v>
      </c>
      <c r="F56" s="153">
        <f t="shared" ref="F56:R56" si="14">TTEST(F8:F17,F20:F29,2,2)</f>
        <v>2.6915859853683971E-2</v>
      </c>
      <c r="G56" s="153">
        <f t="shared" si="14"/>
        <v>4.9097809562537953E-2</v>
      </c>
      <c r="H56" s="153">
        <f t="shared" si="14"/>
        <v>1.2072396096416572E-3</v>
      </c>
      <c r="I56" s="153">
        <f t="shared" si="14"/>
        <v>5.9964330615780697E-3</v>
      </c>
      <c r="J56" s="153">
        <f t="shared" si="14"/>
        <v>0.19278282284045722</v>
      </c>
      <c r="K56" s="153">
        <f t="shared" si="14"/>
        <v>0.10251589885336981</v>
      </c>
      <c r="L56" s="153">
        <f t="shared" si="14"/>
        <v>1.9391414831466482E-2</v>
      </c>
      <c r="M56" s="153">
        <f t="shared" si="14"/>
        <v>5.6409105238829506E-2</v>
      </c>
      <c r="N56" s="153">
        <f t="shared" si="14"/>
        <v>0.16932992718820816</v>
      </c>
      <c r="O56" s="153">
        <f t="shared" si="14"/>
        <v>2.6644750696606604E-2</v>
      </c>
      <c r="P56" s="153">
        <f t="shared" si="14"/>
        <v>1.3114615790057942E-2</v>
      </c>
      <c r="Q56" s="153">
        <f t="shared" si="14"/>
        <v>1.6851556433384832E-3</v>
      </c>
      <c r="R56" s="153">
        <f t="shared" si="14"/>
        <v>3.1146305639265792E-3</v>
      </c>
      <c r="S56" s="17"/>
      <c r="T56" s="17"/>
      <c r="U56" s="17"/>
      <c r="V56" s="17"/>
      <c r="W56" s="19"/>
    </row>
    <row r="57" spans="1:23" ht="14.25" customHeight="1" x14ac:dyDescent="0.15">
      <c r="A57" s="171"/>
      <c r="B57" s="152"/>
      <c r="C57" s="152"/>
      <c r="D57" s="152" t="s">
        <v>59</v>
      </c>
      <c r="E57" s="153" t="e">
        <f>TTEST(E8:E17,E32:E41,2,2)</f>
        <v>#DIV/0!</v>
      </c>
      <c r="F57" s="153" t="e">
        <f t="shared" ref="F57:R57" si="15">TTEST(F8:F17,F32:F41,2,2)</f>
        <v>#DIV/0!</v>
      </c>
      <c r="G57" s="153" t="e">
        <f t="shared" si="15"/>
        <v>#DIV/0!</v>
      </c>
      <c r="H57" s="153" t="e">
        <f t="shared" si="15"/>
        <v>#DIV/0!</v>
      </c>
      <c r="I57" s="153" t="e">
        <f t="shared" si="15"/>
        <v>#DIV/0!</v>
      </c>
      <c r="J57" s="153" t="e">
        <f t="shared" si="15"/>
        <v>#DIV/0!</v>
      </c>
      <c r="K57" s="153" t="e">
        <f t="shared" si="15"/>
        <v>#DIV/0!</v>
      </c>
      <c r="L57" s="153" t="e">
        <f t="shared" si="15"/>
        <v>#DIV/0!</v>
      </c>
      <c r="M57" s="153" t="e">
        <f t="shared" si="15"/>
        <v>#DIV/0!</v>
      </c>
      <c r="N57" s="153" t="e">
        <f t="shared" si="15"/>
        <v>#DIV/0!</v>
      </c>
      <c r="O57" s="153" t="e">
        <f t="shared" si="15"/>
        <v>#DIV/0!</v>
      </c>
      <c r="P57" s="153" t="e">
        <f t="shared" si="15"/>
        <v>#DIV/0!</v>
      </c>
      <c r="Q57" s="153" t="e">
        <f t="shared" si="15"/>
        <v>#DIV/0!</v>
      </c>
      <c r="R57" s="153" t="e">
        <f t="shared" si="15"/>
        <v>#DIV/0!</v>
      </c>
      <c r="S57" s="17"/>
      <c r="T57" s="17"/>
      <c r="U57" s="17"/>
      <c r="V57" s="17"/>
      <c r="W57" s="19"/>
    </row>
    <row r="58" spans="1:23" ht="14.25" customHeight="1" x14ac:dyDescent="0.15">
      <c r="A58" s="171"/>
      <c r="B58" s="152"/>
      <c r="C58" s="152"/>
      <c r="D58" s="152" t="s">
        <v>65</v>
      </c>
      <c r="E58" s="153" t="e">
        <f>TTEST(E8:E17,E44:E53,2,2)</f>
        <v>#DIV/0!</v>
      </c>
      <c r="F58" s="153" t="e">
        <f t="shared" ref="F58:R58" si="16">TTEST(F8:F17,F44:F53,2,2)</f>
        <v>#DIV/0!</v>
      </c>
      <c r="G58" s="153" t="e">
        <f t="shared" si="16"/>
        <v>#DIV/0!</v>
      </c>
      <c r="H58" s="153" t="e">
        <f t="shared" si="16"/>
        <v>#DIV/0!</v>
      </c>
      <c r="I58" s="153" t="e">
        <f t="shared" si="16"/>
        <v>#DIV/0!</v>
      </c>
      <c r="J58" s="153" t="e">
        <f t="shared" si="16"/>
        <v>#DIV/0!</v>
      </c>
      <c r="K58" s="153" t="e">
        <f t="shared" si="16"/>
        <v>#DIV/0!</v>
      </c>
      <c r="L58" s="153" t="e">
        <f t="shared" si="16"/>
        <v>#DIV/0!</v>
      </c>
      <c r="M58" s="153" t="e">
        <f t="shared" si="16"/>
        <v>#DIV/0!</v>
      </c>
      <c r="N58" s="153" t="e">
        <f t="shared" si="16"/>
        <v>#DIV/0!</v>
      </c>
      <c r="O58" s="153" t="e">
        <f t="shared" si="16"/>
        <v>#DIV/0!</v>
      </c>
      <c r="P58" s="153" t="e">
        <f t="shared" si="16"/>
        <v>#DIV/0!</v>
      </c>
      <c r="Q58" s="153" t="e">
        <f t="shared" si="16"/>
        <v>#DIV/0!</v>
      </c>
      <c r="R58" s="153" t="e">
        <f t="shared" si="16"/>
        <v>#DIV/0!</v>
      </c>
      <c r="S58" s="17"/>
      <c r="T58" s="17"/>
      <c r="U58" s="17"/>
      <c r="V58" s="17"/>
      <c r="W58" s="19"/>
    </row>
    <row r="59" spans="1:23" ht="14.25" customHeight="1" x14ac:dyDescent="0.15">
      <c r="A59" s="171"/>
      <c r="B59" s="152"/>
      <c r="C59" s="152"/>
      <c r="D59" s="152" t="s">
        <v>60</v>
      </c>
      <c r="E59" s="153" t="e">
        <f>TTEST(E20:E29,E32:E41,2,2)</f>
        <v>#DIV/0!</v>
      </c>
      <c r="F59" s="153" t="e">
        <f t="shared" ref="F59:R59" si="17">TTEST(F20:F29,F32:F41,2,2)</f>
        <v>#DIV/0!</v>
      </c>
      <c r="G59" s="153" t="e">
        <f t="shared" si="17"/>
        <v>#DIV/0!</v>
      </c>
      <c r="H59" s="153" t="e">
        <f t="shared" si="17"/>
        <v>#DIV/0!</v>
      </c>
      <c r="I59" s="153" t="e">
        <f t="shared" si="17"/>
        <v>#DIV/0!</v>
      </c>
      <c r="J59" s="153" t="e">
        <f t="shared" si="17"/>
        <v>#DIV/0!</v>
      </c>
      <c r="K59" s="153" t="e">
        <f t="shared" si="17"/>
        <v>#DIV/0!</v>
      </c>
      <c r="L59" s="153" t="e">
        <f t="shared" si="17"/>
        <v>#DIV/0!</v>
      </c>
      <c r="M59" s="153" t="e">
        <f t="shared" si="17"/>
        <v>#DIV/0!</v>
      </c>
      <c r="N59" s="153" t="e">
        <f t="shared" si="17"/>
        <v>#DIV/0!</v>
      </c>
      <c r="O59" s="153" t="e">
        <f t="shared" si="17"/>
        <v>#DIV/0!</v>
      </c>
      <c r="P59" s="153" t="e">
        <f t="shared" si="17"/>
        <v>#DIV/0!</v>
      </c>
      <c r="Q59" s="153" t="e">
        <f t="shared" si="17"/>
        <v>#DIV/0!</v>
      </c>
      <c r="R59" s="153" t="e">
        <f t="shared" si="17"/>
        <v>#DIV/0!</v>
      </c>
      <c r="S59" s="17"/>
      <c r="T59" s="17"/>
      <c r="U59" s="17"/>
      <c r="V59" s="17"/>
      <c r="W59" s="19"/>
    </row>
    <row r="60" spans="1:23" ht="14.25" customHeight="1" x14ac:dyDescent="0.15">
      <c r="A60" s="171"/>
      <c r="B60" s="152"/>
      <c r="C60" s="152"/>
      <c r="D60" s="152" t="s">
        <v>66</v>
      </c>
      <c r="E60" s="153" t="e">
        <f>TTEST(E20:E29,E44:E53,2,2)</f>
        <v>#DIV/0!</v>
      </c>
      <c r="F60" s="153" t="e">
        <f t="shared" ref="F60:R60" si="18">TTEST(F20:F29,F44:F53,2,2)</f>
        <v>#DIV/0!</v>
      </c>
      <c r="G60" s="153" t="e">
        <f t="shared" si="18"/>
        <v>#DIV/0!</v>
      </c>
      <c r="H60" s="153" t="e">
        <f t="shared" si="18"/>
        <v>#DIV/0!</v>
      </c>
      <c r="I60" s="153" t="e">
        <f t="shared" si="18"/>
        <v>#DIV/0!</v>
      </c>
      <c r="J60" s="153" t="e">
        <f t="shared" si="18"/>
        <v>#DIV/0!</v>
      </c>
      <c r="K60" s="153" t="e">
        <f t="shared" si="18"/>
        <v>#DIV/0!</v>
      </c>
      <c r="L60" s="153" t="e">
        <f t="shared" si="18"/>
        <v>#DIV/0!</v>
      </c>
      <c r="M60" s="153" t="e">
        <f t="shared" si="18"/>
        <v>#DIV/0!</v>
      </c>
      <c r="N60" s="153" t="e">
        <f t="shared" si="18"/>
        <v>#DIV/0!</v>
      </c>
      <c r="O60" s="153" t="e">
        <f t="shared" si="18"/>
        <v>#DIV/0!</v>
      </c>
      <c r="P60" s="153" t="e">
        <f t="shared" si="18"/>
        <v>#DIV/0!</v>
      </c>
      <c r="Q60" s="153" t="e">
        <f t="shared" si="18"/>
        <v>#DIV/0!</v>
      </c>
      <c r="R60" s="153" t="e">
        <f t="shared" si="18"/>
        <v>#DIV/0!</v>
      </c>
      <c r="S60" s="17"/>
      <c r="T60" s="17"/>
      <c r="U60" s="17"/>
      <c r="V60" s="17"/>
      <c r="W60" s="19"/>
    </row>
    <row r="61" spans="1:23" ht="14.25" customHeight="1" x14ac:dyDescent="0.15">
      <c r="A61" s="171"/>
      <c r="B61" s="152"/>
      <c r="C61" s="152"/>
      <c r="D61" s="152" t="s">
        <v>67</v>
      </c>
      <c r="E61" s="153" t="e">
        <f>TTEST(E32:E41,E44:E53,2,2)</f>
        <v>#DIV/0!</v>
      </c>
      <c r="F61" s="153" t="e">
        <f t="shared" ref="F61:R61" si="19">TTEST(F32:F41,F44:F53,2,2)</f>
        <v>#DIV/0!</v>
      </c>
      <c r="G61" s="153" t="e">
        <f t="shared" si="19"/>
        <v>#DIV/0!</v>
      </c>
      <c r="H61" s="153" t="e">
        <f t="shared" si="19"/>
        <v>#DIV/0!</v>
      </c>
      <c r="I61" s="153" t="e">
        <f t="shared" si="19"/>
        <v>#DIV/0!</v>
      </c>
      <c r="J61" s="153" t="e">
        <f t="shared" si="19"/>
        <v>#DIV/0!</v>
      </c>
      <c r="K61" s="153" t="e">
        <f t="shared" si="19"/>
        <v>#DIV/0!</v>
      </c>
      <c r="L61" s="153" t="e">
        <f t="shared" si="19"/>
        <v>#DIV/0!</v>
      </c>
      <c r="M61" s="153" t="e">
        <f t="shared" si="19"/>
        <v>#DIV/0!</v>
      </c>
      <c r="N61" s="153" t="e">
        <f t="shared" si="19"/>
        <v>#DIV/0!</v>
      </c>
      <c r="O61" s="153" t="e">
        <f t="shared" si="19"/>
        <v>#DIV/0!</v>
      </c>
      <c r="P61" s="153" t="e">
        <f t="shared" si="19"/>
        <v>#DIV/0!</v>
      </c>
      <c r="Q61" s="153" t="e">
        <f t="shared" si="19"/>
        <v>#DIV/0!</v>
      </c>
      <c r="R61" s="153" t="e">
        <f t="shared" si="19"/>
        <v>#DIV/0!</v>
      </c>
      <c r="S61" s="17"/>
      <c r="T61" s="17"/>
      <c r="U61" s="17"/>
      <c r="V61" s="17"/>
      <c r="W61" s="19"/>
    </row>
    <row r="62" spans="1:23" ht="14.25" customHeight="1" x14ac:dyDescent="0.15">
      <c r="A62" s="57"/>
      <c r="B62" s="58"/>
      <c r="C62" s="59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5"/>
    </row>
  </sheetData>
  <sheetProtection algorithmName="SHA-512" hashValue="ubZyyF3BNG0F4HhJEwGwZELyqjDIdoZ7fa/6/zuPhQoeAb5Cmhd4HboufKD7AGWBRvnXCz0LwUVIY/sgAAEVfA==" saltValue="i4JQ7L375VlbvztKwfdBRA==" spinCount="100000" sheet="1" objects="1" scenarios="1"/>
  <mergeCells count="11">
    <mergeCell ref="A9:A10"/>
    <mergeCell ref="A21:A22"/>
    <mergeCell ref="A33:A34"/>
    <mergeCell ref="A45:A46"/>
    <mergeCell ref="O5:P5"/>
    <mergeCell ref="Q5:R5"/>
    <mergeCell ref="E5:F5"/>
    <mergeCell ref="G5:H5"/>
    <mergeCell ref="I5:J5"/>
    <mergeCell ref="K5:L5"/>
    <mergeCell ref="M5:N5"/>
  </mergeCells>
  <conditionalFormatting sqref="E56:R61">
    <cfRule type="cellIs" dxfId="4" priority="1" operator="lessThan">
      <formula>0.05</formula>
    </cfRule>
    <cfRule type="cellIs" dxfId="3" priority="2" operator="lessThan">
      <formula>0.05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62"/>
  <sheetViews>
    <sheetView zoomScaleNormal="100" workbookViewId="0">
      <selection activeCell="A4" sqref="A4"/>
    </sheetView>
  </sheetViews>
  <sheetFormatPr baseColWidth="10" defaultColWidth="9" defaultRowHeight="14" x14ac:dyDescent="0.15"/>
  <cols>
    <col min="1" max="16384" width="9" style="2"/>
  </cols>
  <sheetData>
    <row r="1" spans="1:23" ht="14.25" customHeight="1" x14ac:dyDescent="0.1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/>
    </row>
    <row r="2" spans="1:23" ht="14.25" customHeight="1" x14ac:dyDescent="0.15">
      <c r="A2" s="72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9"/>
    </row>
    <row r="3" spans="1:23" ht="14.25" customHeight="1" x14ac:dyDescent="0.15">
      <c r="A3" s="72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9"/>
    </row>
    <row r="4" spans="1:23" ht="14.25" customHeight="1" x14ac:dyDescent="0.2">
      <c r="A4" s="14"/>
      <c r="B4" s="15"/>
      <c r="C4" s="15"/>
      <c r="D4" s="16"/>
      <c r="E4" s="17"/>
      <c r="F4" s="17"/>
      <c r="G4" s="18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9"/>
    </row>
    <row r="5" spans="1:23" ht="14.25" customHeight="1" x14ac:dyDescent="0.15">
      <c r="A5" s="20"/>
      <c r="B5" s="21"/>
      <c r="C5" s="21"/>
      <c r="D5" s="22"/>
      <c r="E5" s="213" t="s">
        <v>32</v>
      </c>
      <c r="F5" s="214"/>
      <c r="G5" s="213" t="s">
        <v>33</v>
      </c>
      <c r="H5" s="214"/>
      <c r="I5" s="213" t="s">
        <v>34</v>
      </c>
      <c r="J5" s="214"/>
      <c r="K5" s="213" t="s">
        <v>35</v>
      </c>
      <c r="L5" s="214"/>
      <c r="M5" s="213" t="s">
        <v>36</v>
      </c>
      <c r="N5" s="214"/>
      <c r="O5" s="213" t="s">
        <v>37</v>
      </c>
      <c r="P5" s="214"/>
      <c r="Q5" s="213" t="s">
        <v>71</v>
      </c>
      <c r="R5" s="214"/>
      <c r="S5" s="17"/>
      <c r="T5" s="17"/>
      <c r="U5" s="17"/>
      <c r="V5" s="17"/>
      <c r="W5" s="19"/>
    </row>
    <row r="6" spans="1:23" ht="14.25" customHeight="1" x14ac:dyDescent="0.15">
      <c r="A6" s="23"/>
      <c r="B6" s="24"/>
      <c r="C6" s="24"/>
      <c r="D6" s="25"/>
      <c r="E6" s="26" t="s">
        <v>56</v>
      </c>
      <c r="F6" s="46" t="s">
        <v>57</v>
      </c>
      <c r="G6" s="26" t="s">
        <v>56</v>
      </c>
      <c r="H6" s="46" t="s">
        <v>57</v>
      </c>
      <c r="I6" s="26" t="s">
        <v>56</v>
      </c>
      <c r="J6" s="46" t="s">
        <v>57</v>
      </c>
      <c r="K6" s="26" t="s">
        <v>56</v>
      </c>
      <c r="L6" s="46" t="s">
        <v>57</v>
      </c>
      <c r="M6" s="26" t="s">
        <v>56</v>
      </c>
      <c r="N6" s="46" t="s">
        <v>57</v>
      </c>
      <c r="O6" s="26" t="s">
        <v>56</v>
      </c>
      <c r="P6" s="46" t="s">
        <v>57</v>
      </c>
      <c r="Q6" s="26" t="s">
        <v>56</v>
      </c>
      <c r="R6" s="47" t="s">
        <v>57</v>
      </c>
      <c r="S6" s="17"/>
      <c r="T6" s="17"/>
      <c r="U6" s="17"/>
      <c r="V6" s="17"/>
      <c r="W6" s="19"/>
    </row>
    <row r="7" spans="1:23" ht="14.25" customHeight="1" x14ac:dyDescent="0.15">
      <c r="A7" s="29"/>
      <c r="B7" s="30" t="s">
        <v>41</v>
      </c>
      <c r="C7" s="30" t="s">
        <v>42</v>
      </c>
      <c r="D7" s="31" t="s">
        <v>43</v>
      </c>
      <c r="E7" s="32" t="s">
        <v>44</v>
      </c>
      <c r="F7" s="32" t="s">
        <v>44</v>
      </c>
      <c r="G7" s="32" t="s">
        <v>44</v>
      </c>
      <c r="H7" s="32" t="s">
        <v>44</v>
      </c>
      <c r="I7" s="32" t="s">
        <v>44</v>
      </c>
      <c r="J7" s="32" t="s">
        <v>44</v>
      </c>
      <c r="K7" s="32" t="s">
        <v>44</v>
      </c>
      <c r="L7" s="32" t="s">
        <v>44</v>
      </c>
      <c r="M7" s="32" t="s">
        <v>44</v>
      </c>
      <c r="N7" s="32" t="s">
        <v>44</v>
      </c>
      <c r="O7" s="32" t="s">
        <v>44</v>
      </c>
      <c r="P7" s="32" t="s">
        <v>44</v>
      </c>
      <c r="Q7" s="32" t="s">
        <v>44</v>
      </c>
      <c r="R7" s="32" t="s">
        <v>44</v>
      </c>
      <c r="S7" s="17"/>
      <c r="T7" s="17"/>
      <c r="U7" s="17"/>
      <c r="V7" s="17"/>
      <c r="W7" s="19"/>
    </row>
    <row r="8" spans="1:23" ht="14.25" customHeight="1" x14ac:dyDescent="0.15">
      <c r="A8" s="34" t="s">
        <v>46</v>
      </c>
      <c r="B8" s="73">
        <v>1</v>
      </c>
      <c r="C8" s="74" t="s">
        <v>85</v>
      </c>
      <c r="D8" s="181">
        <v>401</v>
      </c>
      <c r="E8" s="167">
        <v>14.311</v>
      </c>
      <c r="F8" s="172">
        <v>85.677899999999994</v>
      </c>
      <c r="G8" s="167">
        <v>10.777699999999999</v>
      </c>
      <c r="H8" s="172">
        <v>89.222300000000004</v>
      </c>
      <c r="I8" s="173">
        <v>8.7221299999999999</v>
      </c>
      <c r="J8" s="173">
        <v>91.277900000000002</v>
      </c>
      <c r="K8" s="167">
        <v>8.9999099999999999</v>
      </c>
      <c r="L8" s="172">
        <v>91.000100000000003</v>
      </c>
      <c r="M8" s="173">
        <v>6.7221500000000001</v>
      </c>
      <c r="N8" s="173">
        <v>93.277799999999999</v>
      </c>
      <c r="O8" s="167">
        <v>9.6836800000000007</v>
      </c>
      <c r="P8" s="173">
        <v>90.316299999999998</v>
      </c>
      <c r="Q8" s="75">
        <f>AVERAGE(E8,G8,I8,K8,M8,O8)</f>
        <v>9.8694283333333335</v>
      </c>
      <c r="R8" s="174">
        <f>AVERAGE(F8,H8,J8,L8,N8,P8)</f>
        <v>90.128716666666662</v>
      </c>
      <c r="S8" s="17"/>
      <c r="T8" s="17"/>
      <c r="U8" s="17"/>
      <c r="V8" s="17"/>
      <c r="W8" s="19"/>
    </row>
    <row r="9" spans="1:23" ht="14.25" customHeight="1" x14ac:dyDescent="0.15">
      <c r="A9" s="206" t="s">
        <v>84</v>
      </c>
      <c r="B9" s="79">
        <v>2</v>
      </c>
      <c r="C9" s="74" t="s">
        <v>85</v>
      </c>
      <c r="D9" s="181">
        <v>402</v>
      </c>
      <c r="E9" s="111">
        <v>8.8110199999999992</v>
      </c>
      <c r="F9" s="115">
        <v>91.177899999999994</v>
      </c>
      <c r="G9" s="111">
        <v>8.3110300000000006</v>
      </c>
      <c r="H9" s="115">
        <v>91.688999999999993</v>
      </c>
      <c r="I9" s="109">
        <v>6.9443700000000002</v>
      </c>
      <c r="J9" s="109">
        <v>93.055599999999998</v>
      </c>
      <c r="K9" s="111">
        <v>6.9777100000000001</v>
      </c>
      <c r="L9" s="115">
        <v>93.022300000000001</v>
      </c>
      <c r="M9" s="109">
        <v>5.2110599999999998</v>
      </c>
      <c r="N9" s="109">
        <v>94.788899999999998</v>
      </c>
      <c r="O9" s="111">
        <v>6.6888199999999998</v>
      </c>
      <c r="P9" s="109">
        <v>93.311199999999999</v>
      </c>
      <c r="Q9" s="80">
        <f t="shared" ref="Q9:Q11" si="0">AVERAGE(E9,G9,I9,K9,M9,O9)</f>
        <v>7.1573349999999998</v>
      </c>
      <c r="R9" s="86">
        <f t="shared" ref="R9:R11" si="1">AVERAGE(F9,H9,J9,L9,N9,P9)</f>
        <v>92.840816666666669</v>
      </c>
      <c r="S9" s="17"/>
      <c r="T9" s="17"/>
      <c r="U9" s="17"/>
      <c r="V9" s="17"/>
      <c r="W9" s="19"/>
    </row>
    <row r="10" spans="1:23" ht="14.25" customHeight="1" x14ac:dyDescent="0.15">
      <c r="A10" s="206"/>
      <c r="B10" s="79">
        <v>3</v>
      </c>
      <c r="C10" s="74" t="s">
        <v>85</v>
      </c>
      <c r="D10" s="181">
        <v>403</v>
      </c>
      <c r="E10" s="111">
        <v>12.2554</v>
      </c>
      <c r="F10" s="115">
        <v>87.733500000000006</v>
      </c>
      <c r="G10" s="111">
        <v>8.7796900000000004</v>
      </c>
      <c r="H10" s="115">
        <v>91.220299999999995</v>
      </c>
      <c r="I10" s="109">
        <v>7.2251500000000002</v>
      </c>
      <c r="J10" s="109">
        <v>92.765699999999995</v>
      </c>
      <c r="K10" s="111">
        <v>8.8887999999999998</v>
      </c>
      <c r="L10" s="115">
        <v>91.103099999999998</v>
      </c>
      <c r="M10" s="109">
        <v>6.8110400000000002</v>
      </c>
      <c r="N10" s="109">
        <v>93.188999999999993</v>
      </c>
      <c r="O10" s="111">
        <v>7.5332600000000003</v>
      </c>
      <c r="P10" s="109">
        <v>92.466700000000003</v>
      </c>
      <c r="Q10" s="80">
        <f t="shared" si="0"/>
        <v>8.5822233333333333</v>
      </c>
      <c r="R10" s="86">
        <f t="shared" si="1"/>
        <v>91.413049999999998</v>
      </c>
      <c r="S10" s="17"/>
      <c r="T10" s="17"/>
      <c r="U10" s="17"/>
      <c r="V10" s="17"/>
      <c r="W10" s="19"/>
    </row>
    <row r="11" spans="1:23" ht="14.25" customHeight="1" x14ac:dyDescent="0.15">
      <c r="A11" s="35"/>
      <c r="B11" s="79">
        <v>4</v>
      </c>
      <c r="C11" s="74" t="s">
        <v>85</v>
      </c>
      <c r="D11" s="181">
        <v>404</v>
      </c>
      <c r="E11" s="111">
        <v>12.855399999999999</v>
      </c>
      <c r="F11" s="115">
        <v>87.133499999999998</v>
      </c>
      <c r="G11" s="111">
        <v>9.5665700000000005</v>
      </c>
      <c r="H11" s="115">
        <v>90.433400000000006</v>
      </c>
      <c r="I11" s="109">
        <v>8.6221399999999999</v>
      </c>
      <c r="J11" s="109">
        <v>91.368799999999993</v>
      </c>
      <c r="K11" s="111">
        <v>7.6888100000000001</v>
      </c>
      <c r="L11" s="115">
        <v>92.311199999999999</v>
      </c>
      <c r="M11" s="109">
        <v>6.2999400000000003</v>
      </c>
      <c r="N11" s="109">
        <v>93.700100000000006</v>
      </c>
      <c r="O11" s="111">
        <v>8.0777000000000001</v>
      </c>
      <c r="P11" s="109">
        <v>91.922300000000007</v>
      </c>
      <c r="Q11" s="80">
        <f t="shared" si="0"/>
        <v>8.8517600000000005</v>
      </c>
      <c r="R11" s="86">
        <f t="shared" si="1"/>
        <v>91.14488333333334</v>
      </c>
      <c r="S11" s="17"/>
      <c r="T11" s="17"/>
      <c r="U11" s="17"/>
      <c r="V11" s="17"/>
      <c r="W11" s="19"/>
    </row>
    <row r="12" spans="1:23" ht="14.25" customHeight="1" x14ac:dyDescent="0.15">
      <c r="A12" s="35"/>
      <c r="B12" s="79">
        <v>5</v>
      </c>
      <c r="C12" s="74" t="s">
        <v>85</v>
      </c>
      <c r="D12" s="181">
        <v>444</v>
      </c>
      <c r="E12" s="111">
        <v>14.977600000000001</v>
      </c>
      <c r="F12" s="115">
        <v>84.644599999999997</v>
      </c>
      <c r="G12" s="111">
        <v>12.355399999999999</v>
      </c>
      <c r="H12" s="115">
        <v>87.644599999999997</v>
      </c>
      <c r="I12" s="109">
        <v>11.611000000000001</v>
      </c>
      <c r="J12" s="109">
        <v>88.388999999999996</v>
      </c>
      <c r="K12" s="111">
        <v>11.4666</v>
      </c>
      <c r="L12" s="115">
        <v>88.5334</v>
      </c>
      <c r="M12" s="109">
        <v>12.088800000000001</v>
      </c>
      <c r="N12" s="109">
        <v>87.911199999999994</v>
      </c>
      <c r="O12" s="111">
        <v>10.144299999999999</v>
      </c>
      <c r="P12" s="109">
        <v>89.855699999999999</v>
      </c>
      <c r="Q12" s="80">
        <f t="shared" ref="Q12:Q15" si="2">AVERAGE(E12,G12,I12,K12,M12,O12)</f>
        <v>12.107283333333333</v>
      </c>
      <c r="R12" s="86">
        <f t="shared" ref="R12:R15" si="3">AVERAGE(F12,H12,J12,L12,N12,P12)</f>
        <v>87.82974999999999</v>
      </c>
      <c r="S12" s="17"/>
      <c r="T12" s="17"/>
      <c r="U12" s="17"/>
      <c r="V12" s="17"/>
      <c r="W12" s="19"/>
    </row>
    <row r="13" spans="1:23" ht="14.25" customHeight="1" x14ac:dyDescent="0.15">
      <c r="A13" s="35"/>
      <c r="B13" s="79">
        <v>6</v>
      </c>
      <c r="C13" s="74" t="s">
        <v>85</v>
      </c>
      <c r="D13" s="181">
        <v>446</v>
      </c>
      <c r="E13" s="111">
        <v>14.955399999999999</v>
      </c>
      <c r="F13" s="115">
        <v>85.033500000000004</v>
      </c>
      <c r="G13" s="111">
        <v>11.212999999999999</v>
      </c>
      <c r="H13" s="115">
        <v>88.787000000000006</v>
      </c>
      <c r="I13" s="109">
        <v>10.1555</v>
      </c>
      <c r="J13" s="109">
        <v>89.835400000000007</v>
      </c>
      <c r="K13" s="111">
        <v>11.8332</v>
      </c>
      <c r="L13" s="115">
        <v>88.166799999999995</v>
      </c>
      <c r="M13" s="109">
        <v>4.9555100000000003</v>
      </c>
      <c r="N13" s="109">
        <v>95.044499999999999</v>
      </c>
      <c r="O13" s="111">
        <v>9.7110099999999999</v>
      </c>
      <c r="P13" s="109">
        <v>90.289000000000001</v>
      </c>
      <c r="Q13" s="80">
        <f t="shared" si="2"/>
        <v>10.470603333333331</v>
      </c>
      <c r="R13" s="86">
        <f t="shared" si="3"/>
        <v>89.526033333333331</v>
      </c>
      <c r="S13" s="17"/>
      <c r="T13" s="17"/>
      <c r="U13" s="17"/>
      <c r="V13" s="17"/>
      <c r="W13" s="19"/>
    </row>
    <row r="14" spans="1:23" ht="14.25" customHeight="1" x14ac:dyDescent="0.15">
      <c r="A14" s="35"/>
      <c r="B14" s="79">
        <v>7</v>
      </c>
      <c r="C14" s="74" t="s">
        <v>85</v>
      </c>
      <c r="D14" s="191">
        <v>447</v>
      </c>
      <c r="E14" s="111">
        <v>11.111000000000001</v>
      </c>
      <c r="F14" s="115">
        <v>83.189099999999996</v>
      </c>
      <c r="G14" s="111">
        <v>9.2888000000000002</v>
      </c>
      <c r="H14" s="115">
        <v>90.711200000000005</v>
      </c>
      <c r="I14" s="109">
        <v>9.2888000000000002</v>
      </c>
      <c r="J14" s="109">
        <v>90.711200000000005</v>
      </c>
      <c r="K14" s="111">
        <v>8.3776899999999994</v>
      </c>
      <c r="L14" s="115">
        <v>91.614199999999997</v>
      </c>
      <c r="M14" s="109">
        <v>8.2665799999999994</v>
      </c>
      <c r="N14" s="109">
        <v>91.733400000000003</v>
      </c>
      <c r="O14" s="111">
        <v>7.0999299999999996</v>
      </c>
      <c r="P14" s="109">
        <v>92.900099999999995</v>
      </c>
      <c r="Q14" s="80">
        <f t="shared" si="2"/>
        <v>8.9054666666666673</v>
      </c>
      <c r="R14" s="86">
        <f t="shared" si="3"/>
        <v>90.143199999999993</v>
      </c>
      <c r="S14" s="17"/>
      <c r="T14" s="17"/>
      <c r="U14" s="17"/>
      <c r="V14" s="17"/>
      <c r="W14" s="19"/>
    </row>
    <row r="15" spans="1:23" ht="14.25" customHeight="1" x14ac:dyDescent="0.15">
      <c r="A15" s="35"/>
      <c r="B15" s="79">
        <v>8</v>
      </c>
      <c r="C15" s="74" t="s">
        <v>85</v>
      </c>
      <c r="D15" s="191">
        <v>452</v>
      </c>
      <c r="E15" s="80">
        <v>14.111000000000001</v>
      </c>
      <c r="F15" s="86">
        <v>85.866799999999998</v>
      </c>
      <c r="G15" s="80">
        <v>11.657400000000001</v>
      </c>
      <c r="H15" s="86">
        <v>88.298100000000005</v>
      </c>
      <c r="I15" s="82">
        <v>9.6887899999999991</v>
      </c>
      <c r="J15" s="82">
        <v>90.079899999999995</v>
      </c>
      <c r="K15" s="80">
        <v>12.611000000000001</v>
      </c>
      <c r="L15" s="86">
        <v>87.088999999999999</v>
      </c>
      <c r="M15" s="82">
        <v>10.4666</v>
      </c>
      <c r="N15" s="82">
        <v>89.200100000000006</v>
      </c>
      <c r="O15" s="80">
        <v>11.6221</v>
      </c>
      <c r="P15" s="82">
        <v>87.927300000000002</v>
      </c>
      <c r="Q15" s="80">
        <f t="shared" si="2"/>
        <v>11.692815000000001</v>
      </c>
      <c r="R15" s="86">
        <f t="shared" si="3"/>
        <v>88.07686666666666</v>
      </c>
      <c r="S15" s="17"/>
      <c r="T15" s="17"/>
      <c r="U15" s="17"/>
      <c r="V15" s="17"/>
      <c r="W15" s="19"/>
    </row>
    <row r="16" spans="1:23" ht="14.25" customHeight="1" x14ac:dyDescent="0.15">
      <c r="A16" s="35"/>
      <c r="B16" s="79">
        <v>9</v>
      </c>
      <c r="C16" s="84"/>
      <c r="D16" s="85"/>
      <c r="E16" s="80"/>
      <c r="F16" s="86"/>
      <c r="G16" s="80"/>
      <c r="H16" s="86"/>
      <c r="I16" s="82"/>
      <c r="J16" s="82"/>
      <c r="K16" s="80"/>
      <c r="L16" s="86"/>
      <c r="M16" s="82"/>
      <c r="N16" s="82"/>
      <c r="O16" s="80"/>
      <c r="P16" s="82"/>
      <c r="Q16" s="80"/>
      <c r="R16" s="86"/>
      <c r="S16" s="17"/>
      <c r="T16" s="17"/>
      <c r="U16" s="17"/>
      <c r="V16" s="17"/>
      <c r="W16" s="19"/>
    </row>
    <row r="17" spans="1:23" ht="14.25" customHeight="1" x14ac:dyDescent="0.15">
      <c r="A17" s="35"/>
      <c r="B17" s="192">
        <v>10</v>
      </c>
      <c r="C17" s="193"/>
      <c r="D17" s="194"/>
      <c r="E17" s="80"/>
      <c r="F17" s="86"/>
      <c r="G17" s="89"/>
      <c r="H17" s="90"/>
      <c r="I17" s="82"/>
      <c r="J17" s="82"/>
      <c r="K17" s="89"/>
      <c r="L17" s="90"/>
      <c r="M17" s="82"/>
      <c r="N17" s="82"/>
      <c r="O17" s="89"/>
      <c r="P17" s="175"/>
      <c r="Q17" s="89"/>
      <c r="R17" s="90"/>
      <c r="S17" s="17"/>
      <c r="T17" s="17"/>
      <c r="U17" s="17"/>
      <c r="V17" s="17"/>
      <c r="W17" s="19"/>
    </row>
    <row r="18" spans="1:23" ht="14.25" customHeight="1" x14ac:dyDescent="0.15">
      <c r="A18" s="93"/>
      <c r="B18" s="94"/>
      <c r="C18" s="94"/>
      <c r="D18" s="73" t="s">
        <v>47</v>
      </c>
      <c r="E18" s="95">
        <f>AVERAGE(E8:E17)</f>
        <v>12.923477500000002</v>
      </c>
      <c r="F18" s="96">
        <f>AVERAGE(F8:F17)</f>
        <v>86.307099999999991</v>
      </c>
      <c r="G18" s="95">
        <f t="shared" ref="G18:R18" si="4">AVERAGE(G8:G17)</f>
        <v>10.24369875</v>
      </c>
      <c r="H18" s="96">
        <f t="shared" si="4"/>
        <v>89.7507375</v>
      </c>
      <c r="I18" s="95">
        <f t="shared" si="4"/>
        <v>9.0322350000000018</v>
      </c>
      <c r="J18" s="96">
        <f t="shared" si="4"/>
        <v>90.935437499999992</v>
      </c>
      <c r="K18" s="95">
        <f t="shared" si="4"/>
        <v>9.6054649999999988</v>
      </c>
      <c r="L18" s="96">
        <f t="shared" si="4"/>
        <v>90.355012499999987</v>
      </c>
      <c r="M18" s="95">
        <f t="shared" si="4"/>
        <v>7.6027099999999992</v>
      </c>
      <c r="N18" s="96">
        <f t="shared" si="4"/>
        <v>92.355625000000003</v>
      </c>
      <c r="O18" s="95">
        <f t="shared" si="4"/>
        <v>8.8201000000000001</v>
      </c>
      <c r="P18" s="96">
        <f t="shared" si="4"/>
        <v>91.123574999999988</v>
      </c>
      <c r="Q18" s="97">
        <f t="shared" si="4"/>
        <v>9.7046143749999985</v>
      </c>
      <c r="R18" s="98">
        <f t="shared" si="4"/>
        <v>90.137914583333327</v>
      </c>
      <c r="S18" s="17"/>
      <c r="T18" s="17"/>
      <c r="U18" s="17"/>
      <c r="V18" s="17"/>
      <c r="W18" s="19"/>
    </row>
    <row r="19" spans="1:23" ht="14.25" customHeight="1" x14ac:dyDescent="0.15">
      <c r="A19" s="93"/>
      <c r="B19" s="94"/>
      <c r="C19" s="94"/>
      <c r="D19" s="73" t="s">
        <v>48</v>
      </c>
      <c r="E19" s="101">
        <f>STDEV(E8:E17)/SQRT(COUNT(E8:E17))</f>
        <v>0.75983903530791974</v>
      </c>
      <c r="F19" s="102">
        <f>STDEV(F8:F17)/SQRT(COUNT(F8:F17))</f>
        <v>0.85711195405601126</v>
      </c>
      <c r="G19" s="101">
        <f t="shared" ref="G19:R19" si="5">STDEV(G8:G17)/SQRT(COUNT(G8:G17))</f>
        <v>0.51636436342898473</v>
      </c>
      <c r="H19" s="102">
        <f t="shared" si="5"/>
        <v>0.51856599660488789</v>
      </c>
      <c r="I19" s="101">
        <f t="shared" si="5"/>
        <v>0.53947267122956821</v>
      </c>
      <c r="J19" s="102">
        <f t="shared" si="5"/>
        <v>0.54489000821184708</v>
      </c>
      <c r="K19" s="101">
        <f t="shared" si="5"/>
        <v>0.73710663982561186</v>
      </c>
      <c r="L19" s="102">
        <f t="shared" si="5"/>
        <v>0.75917955937349646</v>
      </c>
      <c r="M19" s="101">
        <f t="shared" si="5"/>
        <v>0.89237431422942182</v>
      </c>
      <c r="N19" s="102">
        <f t="shared" si="5"/>
        <v>0.91222672223951928</v>
      </c>
      <c r="O19" s="101">
        <f t="shared" si="5"/>
        <v>0.61022031878131533</v>
      </c>
      <c r="P19" s="102">
        <f t="shared" si="5"/>
        <v>0.64856407127867566</v>
      </c>
      <c r="Q19" s="101">
        <f t="shared" si="5"/>
        <v>0.58940124101777547</v>
      </c>
      <c r="R19" s="102">
        <f t="shared" si="5"/>
        <v>0.59605383155673863</v>
      </c>
      <c r="S19" s="17"/>
      <c r="T19" s="17"/>
      <c r="U19" s="17"/>
      <c r="V19" s="17"/>
      <c r="W19" s="19"/>
    </row>
    <row r="20" spans="1:23" ht="14.25" customHeight="1" x14ac:dyDescent="0.15">
      <c r="A20" s="36" t="s">
        <v>49</v>
      </c>
      <c r="B20" s="37">
        <v>1</v>
      </c>
      <c r="C20" s="104" t="s">
        <v>85</v>
      </c>
      <c r="D20" s="182">
        <v>405</v>
      </c>
      <c r="E20" s="109"/>
      <c r="F20" s="115"/>
      <c r="G20" s="167"/>
      <c r="H20" s="172"/>
      <c r="I20" s="173"/>
      <c r="J20" s="173"/>
      <c r="K20" s="167"/>
      <c r="L20" s="172"/>
      <c r="M20" s="173"/>
      <c r="N20" s="173"/>
      <c r="O20" s="167"/>
      <c r="P20" s="172"/>
      <c r="Q20" s="75"/>
      <c r="R20" s="174"/>
      <c r="S20" s="17"/>
      <c r="T20" s="17"/>
      <c r="U20" s="17"/>
      <c r="V20" s="17"/>
      <c r="W20" s="19"/>
    </row>
    <row r="21" spans="1:23" ht="14.25" customHeight="1" x14ac:dyDescent="0.15">
      <c r="A21" s="207" t="s">
        <v>83</v>
      </c>
      <c r="B21" s="39">
        <v>2</v>
      </c>
      <c r="C21" s="107" t="s">
        <v>85</v>
      </c>
      <c r="D21" s="183">
        <v>406</v>
      </c>
      <c r="E21" s="109">
        <v>11.9999</v>
      </c>
      <c r="F21" s="115">
        <v>87.989000000000004</v>
      </c>
      <c r="G21" s="111">
        <v>6.9110399999999998</v>
      </c>
      <c r="H21" s="115">
        <v>93.088999999999999</v>
      </c>
      <c r="I21" s="109">
        <v>10.399900000000001</v>
      </c>
      <c r="J21" s="109">
        <v>89.590999999999994</v>
      </c>
      <c r="K21" s="111">
        <v>5.2221700000000002</v>
      </c>
      <c r="L21" s="115">
        <v>94.777799999999999</v>
      </c>
      <c r="M21" s="109">
        <v>8.8110199999999992</v>
      </c>
      <c r="N21" s="109">
        <v>91.188999999999993</v>
      </c>
      <c r="O21" s="111">
        <v>1.6888700000000001</v>
      </c>
      <c r="P21" s="115">
        <v>98.311099999999996</v>
      </c>
      <c r="Q21" s="80">
        <f t="shared" ref="Q21:Q22" si="6">AVERAGE(E21,G21,I21,K21,M21,O21)</f>
        <v>7.5054833333333333</v>
      </c>
      <c r="R21" s="86">
        <f t="shared" ref="R21:R22" si="7">AVERAGE(F21,H21,J21,L21,N21,P21)</f>
        <v>92.491150000000005</v>
      </c>
      <c r="S21" s="17"/>
      <c r="T21" s="17"/>
      <c r="U21" s="17"/>
      <c r="V21" s="17"/>
      <c r="W21" s="19"/>
    </row>
    <row r="22" spans="1:23" ht="14.25" customHeight="1" x14ac:dyDescent="0.15">
      <c r="A22" s="207"/>
      <c r="B22" s="39">
        <v>3</v>
      </c>
      <c r="C22" s="107" t="s">
        <v>85</v>
      </c>
      <c r="D22" s="183">
        <v>407</v>
      </c>
      <c r="E22" s="109">
        <v>8.3887999999999998</v>
      </c>
      <c r="F22" s="115">
        <v>91.600099999999998</v>
      </c>
      <c r="G22" s="111">
        <v>5.0443899999999999</v>
      </c>
      <c r="H22" s="115">
        <v>94.955600000000004</v>
      </c>
      <c r="I22" s="109">
        <v>3.5333000000000001</v>
      </c>
      <c r="J22" s="109">
        <v>96.466700000000003</v>
      </c>
      <c r="K22" s="111">
        <v>3.5444100000000001</v>
      </c>
      <c r="L22" s="115">
        <v>96.455600000000004</v>
      </c>
      <c r="M22" s="109">
        <v>2.4888599999999999</v>
      </c>
      <c r="N22" s="109">
        <v>97.511099999999999</v>
      </c>
      <c r="O22" s="111">
        <v>2.2222</v>
      </c>
      <c r="P22" s="115">
        <v>97.777799999999999</v>
      </c>
      <c r="Q22" s="80">
        <f t="shared" si="6"/>
        <v>4.2036600000000002</v>
      </c>
      <c r="R22" s="86">
        <f t="shared" si="7"/>
        <v>95.794483333333332</v>
      </c>
      <c r="S22" s="17"/>
      <c r="T22" s="17"/>
      <c r="U22" s="17"/>
      <c r="V22" s="17"/>
      <c r="W22" s="19"/>
    </row>
    <row r="23" spans="1:23" ht="14.25" customHeight="1" x14ac:dyDescent="0.15">
      <c r="A23" s="38"/>
      <c r="B23" s="39">
        <v>4</v>
      </c>
      <c r="C23" s="107" t="s">
        <v>85</v>
      </c>
      <c r="D23" s="183">
        <v>408</v>
      </c>
      <c r="E23" s="109"/>
      <c r="F23" s="115"/>
      <c r="G23" s="111"/>
      <c r="H23" s="115"/>
      <c r="I23" s="109"/>
      <c r="J23" s="109"/>
      <c r="K23" s="111"/>
      <c r="L23" s="115"/>
      <c r="M23" s="109"/>
      <c r="N23" s="109"/>
      <c r="O23" s="111"/>
      <c r="P23" s="115"/>
      <c r="Q23" s="80"/>
      <c r="R23" s="86"/>
      <c r="S23" s="17"/>
      <c r="T23" s="17"/>
      <c r="U23" s="17"/>
      <c r="V23" s="17"/>
      <c r="W23" s="19"/>
    </row>
    <row r="24" spans="1:23" ht="14.25" customHeight="1" x14ac:dyDescent="0.15">
      <c r="A24" s="38"/>
      <c r="B24" s="39">
        <v>5</v>
      </c>
      <c r="C24" s="107" t="s">
        <v>85</v>
      </c>
      <c r="D24" s="183">
        <v>445</v>
      </c>
      <c r="E24" s="109">
        <v>14.611000000000001</v>
      </c>
      <c r="F24" s="115">
        <v>85.377899999999997</v>
      </c>
      <c r="G24" s="111">
        <v>9.8665699999999994</v>
      </c>
      <c r="H24" s="115">
        <v>90.133399999999995</v>
      </c>
      <c r="I24" s="109">
        <v>11.3888</v>
      </c>
      <c r="J24" s="109">
        <v>88.602099999999993</v>
      </c>
      <c r="K24" s="111">
        <v>11.337199999999999</v>
      </c>
      <c r="L24" s="115">
        <v>88.662800000000004</v>
      </c>
      <c r="M24" s="109">
        <v>10.6777</v>
      </c>
      <c r="N24" s="109">
        <v>89.315200000000004</v>
      </c>
      <c r="O24" s="111">
        <v>6.7666000000000004</v>
      </c>
      <c r="P24" s="115">
        <v>93.233400000000003</v>
      </c>
      <c r="Q24" s="80">
        <f t="shared" ref="Q24:Q27" si="8">AVERAGE(E24,G24,I24,K24,M24,O24)</f>
        <v>10.774645</v>
      </c>
      <c r="R24" s="86">
        <f t="shared" ref="R24:R27" si="9">AVERAGE(F24,H24,J24,L24,N24,P24)</f>
        <v>89.220799999999997</v>
      </c>
      <c r="S24" s="17"/>
      <c r="T24" s="17"/>
      <c r="U24" s="17"/>
      <c r="V24" s="17"/>
      <c r="W24" s="19"/>
    </row>
    <row r="25" spans="1:23" ht="14.25" customHeight="1" x14ac:dyDescent="0.15">
      <c r="A25" s="38"/>
      <c r="B25" s="39">
        <v>6</v>
      </c>
      <c r="C25" s="107" t="s">
        <v>85</v>
      </c>
      <c r="D25" s="183">
        <v>448</v>
      </c>
      <c r="E25" s="109">
        <v>10.0555</v>
      </c>
      <c r="F25" s="115">
        <v>89.8001</v>
      </c>
      <c r="G25" s="111">
        <v>6.1110499999999996</v>
      </c>
      <c r="H25" s="115">
        <v>93.877799999999993</v>
      </c>
      <c r="I25" s="109">
        <v>5.5888299999999997</v>
      </c>
      <c r="J25" s="109">
        <v>94.411199999999994</v>
      </c>
      <c r="K25" s="111">
        <v>6.8332600000000001</v>
      </c>
      <c r="L25" s="115">
        <v>93.122299999999996</v>
      </c>
      <c r="M25" s="109">
        <v>5.9332700000000003</v>
      </c>
      <c r="N25" s="109">
        <v>94.066699999999997</v>
      </c>
      <c r="O25" s="111">
        <v>6.7110399999999997</v>
      </c>
      <c r="P25" s="115">
        <v>93.2667</v>
      </c>
      <c r="Q25" s="80">
        <f t="shared" si="8"/>
        <v>6.872158333333334</v>
      </c>
      <c r="R25" s="86">
        <f t="shared" si="9"/>
        <v>93.090800000000002</v>
      </c>
      <c r="S25" s="17"/>
      <c r="T25" s="17"/>
      <c r="U25" s="17"/>
      <c r="V25" s="17"/>
      <c r="W25" s="19"/>
    </row>
    <row r="26" spans="1:23" ht="14.25" customHeight="1" x14ac:dyDescent="0.15">
      <c r="A26" s="38"/>
      <c r="B26" s="39">
        <v>7</v>
      </c>
      <c r="C26" s="107" t="s">
        <v>85</v>
      </c>
      <c r="D26" s="190">
        <v>449</v>
      </c>
      <c r="E26" s="111">
        <v>7.7777000000000003</v>
      </c>
      <c r="F26" s="115">
        <v>92.211200000000005</v>
      </c>
      <c r="G26" s="111">
        <v>8.3332499999999996</v>
      </c>
      <c r="H26" s="115">
        <v>91.666700000000006</v>
      </c>
      <c r="I26" s="109">
        <v>7.1332599999999999</v>
      </c>
      <c r="J26" s="109">
        <v>92.866699999999994</v>
      </c>
      <c r="K26" s="111">
        <v>7.6705899999999998</v>
      </c>
      <c r="L26" s="115">
        <v>92.262699999999995</v>
      </c>
      <c r="M26" s="109">
        <v>9.6554599999999997</v>
      </c>
      <c r="N26" s="109">
        <v>89.9041</v>
      </c>
      <c r="O26" s="111">
        <v>7.3221499999999997</v>
      </c>
      <c r="P26" s="115">
        <v>92.5779</v>
      </c>
      <c r="Q26" s="80">
        <f t="shared" si="8"/>
        <v>7.9820683333333333</v>
      </c>
      <c r="R26" s="86">
        <f t="shared" si="9"/>
        <v>91.914883333333322</v>
      </c>
      <c r="S26" s="17"/>
      <c r="T26" s="17"/>
      <c r="U26" s="17"/>
      <c r="V26" s="17"/>
      <c r="W26" s="19"/>
    </row>
    <row r="27" spans="1:23" ht="14.25" customHeight="1" x14ac:dyDescent="0.15">
      <c r="A27" s="38"/>
      <c r="B27" s="39">
        <v>8</v>
      </c>
      <c r="C27" s="107" t="s">
        <v>85</v>
      </c>
      <c r="D27" s="190">
        <v>451</v>
      </c>
      <c r="E27" s="111">
        <v>12.6332</v>
      </c>
      <c r="F27" s="115">
        <v>87.355699999999999</v>
      </c>
      <c r="G27" s="111">
        <v>7.7999200000000002</v>
      </c>
      <c r="H27" s="115">
        <v>92.200100000000006</v>
      </c>
      <c r="I27" s="109">
        <v>5.9999399999999996</v>
      </c>
      <c r="J27" s="109">
        <v>94.000100000000003</v>
      </c>
      <c r="K27" s="111">
        <v>9.4999000000000002</v>
      </c>
      <c r="L27" s="115">
        <v>90.455699999999993</v>
      </c>
      <c r="M27" s="109">
        <v>6.2332700000000001</v>
      </c>
      <c r="N27" s="109">
        <v>93.7667</v>
      </c>
      <c r="O27" s="111">
        <v>6.2281599999999999</v>
      </c>
      <c r="P27" s="115">
        <v>93.765699999999995</v>
      </c>
      <c r="Q27" s="80">
        <f t="shared" si="8"/>
        <v>8.0657316666666663</v>
      </c>
      <c r="R27" s="86">
        <f t="shared" si="9"/>
        <v>91.923999999999992</v>
      </c>
      <c r="S27" s="17"/>
      <c r="T27" s="17"/>
      <c r="U27" s="17"/>
      <c r="V27" s="17"/>
      <c r="W27" s="19"/>
    </row>
    <row r="28" spans="1:23" ht="14.25" customHeight="1" x14ac:dyDescent="0.15">
      <c r="A28" s="38"/>
      <c r="B28" s="39">
        <v>9</v>
      </c>
      <c r="C28" s="114"/>
      <c r="D28" s="113"/>
      <c r="E28" s="111"/>
      <c r="F28" s="115"/>
      <c r="G28" s="111"/>
      <c r="H28" s="115"/>
      <c r="I28" s="109"/>
      <c r="J28" s="109"/>
      <c r="K28" s="111"/>
      <c r="L28" s="115"/>
      <c r="M28" s="109"/>
      <c r="N28" s="109"/>
      <c r="O28" s="111"/>
      <c r="P28" s="115"/>
      <c r="Q28" s="80"/>
      <c r="R28" s="86"/>
      <c r="S28" s="17"/>
      <c r="T28" s="17"/>
      <c r="U28" s="17"/>
      <c r="V28" s="17"/>
      <c r="W28" s="19"/>
    </row>
    <row r="29" spans="1:23" ht="14.25" customHeight="1" x14ac:dyDescent="0.15">
      <c r="A29" s="38"/>
      <c r="B29" s="195">
        <v>10</v>
      </c>
      <c r="C29" s="196"/>
      <c r="D29" s="197"/>
      <c r="E29" s="116"/>
      <c r="F29" s="117"/>
      <c r="G29" s="111"/>
      <c r="H29" s="115"/>
      <c r="I29" s="109"/>
      <c r="J29" s="109"/>
      <c r="K29" s="111"/>
      <c r="L29" s="115"/>
      <c r="M29" s="109"/>
      <c r="N29" s="109"/>
      <c r="O29" s="111"/>
      <c r="P29" s="115"/>
      <c r="Q29" s="89"/>
      <c r="R29" s="90"/>
      <c r="S29" s="17"/>
      <c r="T29" s="17"/>
      <c r="U29" s="17"/>
      <c r="V29" s="17"/>
      <c r="W29" s="19"/>
    </row>
    <row r="30" spans="1:23" ht="14.25" customHeight="1" x14ac:dyDescent="0.15">
      <c r="A30" s="118"/>
      <c r="B30" s="119"/>
      <c r="C30" s="119"/>
      <c r="D30" s="120" t="s">
        <v>47</v>
      </c>
      <c r="E30" s="95">
        <f t="shared" ref="E30:R30" si="10">AVERAGE(E20:E29)</f>
        <v>10.911016666666669</v>
      </c>
      <c r="F30" s="96">
        <f t="shared" si="10"/>
        <v>89.055666666666653</v>
      </c>
      <c r="G30" s="95">
        <f t="shared" si="10"/>
        <v>7.3443700000000005</v>
      </c>
      <c r="H30" s="96">
        <f t="shared" si="10"/>
        <v>92.653766666666669</v>
      </c>
      <c r="I30" s="95">
        <f t="shared" si="10"/>
        <v>7.340671666666668</v>
      </c>
      <c r="J30" s="96">
        <f t="shared" si="10"/>
        <v>92.656300000000002</v>
      </c>
      <c r="K30" s="95">
        <f t="shared" si="10"/>
        <v>7.3512549999999992</v>
      </c>
      <c r="L30" s="96">
        <f t="shared" si="10"/>
        <v>92.622816666666665</v>
      </c>
      <c r="M30" s="95">
        <f t="shared" si="10"/>
        <v>7.2999299999999989</v>
      </c>
      <c r="N30" s="96">
        <f t="shared" si="10"/>
        <v>92.625466666666668</v>
      </c>
      <c r="O30" s="95">
        <f t="shared" si="10"/>
        <v>5.1565033333333332</v>
      </c>
      <c r="P30" s="96">
        <f t="shared" si="10"/>
        <v>94.822099999999992</v>
      </c>
      <c r="Q30" s="95">
        <f t="shared" si="10"/>
        <v>7.5672911111111105</v>
      </c>
      <c r="R30" s="96">
        <f t="shared" si="10"/>
        <v>92.406019444444439</v>
      </c>
      <c r="S30" s="17"/>
      <c r="T30" s="17"/>
      <c r="U30" s="17"/>
      <c r="V30" s="17"/>
      <c r="W30" s="19"/>
    </row>
    <row r="31" spans="1:23" ht="14.25" customHeight="1" x14ac:dyDescent="0.15">
      <c r="A31" s="121"/>
      <c r="B31" s="122"/>
      <c r="C31" s="122"/>
      <c r="D31" s="123" t="s">
        <v>48</v>
      </c>
      <c r="E31" s="101">
        <f t="shared" ref="E31:R31" si="11">STDEV(E20:E29)/SQRT(COUNT(E20:E29))</f>
        <v>1.0762994940742274</v>
      </c>
      <c r="F31" s="102">
        <f t="shared" si="11"/>
        <v>1.0729918404991621</v>
      </c>
      <c r="G31" s="101">
        <f t="shared" si="11"/>
        <v>0.69631562308577621</v>
      </c>
      <c r="H31" s="102">
        <f t="shared" si="11"/>
        <v>0.69566477878676947</v>
      </c>
      <c r="I31" s="101">
        <f t="shared" si="11"/>
        <v>1.2268092792998055</v>
      </c>
      <c r="J31" s="102">
        <f t="shared" si="11"/>
        <v>1.2285695001369155</v>
      </c>
      <c r="K31" s="101">
        <f t="shared" si="11"/>
        <v>1.1532533449991234</v>
      </c>
      <c r="L31" s="102">
        <f t="shared" si="11"/>
        <v>1.1560201196105739</v>
      </c>
      <c r="M31" s="101">
        <f t="shared" si="11"/>
        <v>1.2300834984937694</v>
      </c>
      <c r="N31" s="102">
        <f t="shared" si="11"/>
        <v>1.2606363278563373</v>
      </c>
      <c r="O31" s="101">
        <f t="shared" si="11"/>
        <v>1.0244036640331022</v>
      </c>
      <c r="P31" s="102">
        <f t="shared" si="11"/>
        <v>1.0328751931703395</v>
      </c>
      <c r="Q31" s="101">
        <f t="shared" si="11"/>
        <v>0.86619178268704844</v>
      </c>
      <c r="R31" s="102">
        <f t="shared" si="11"/>
        <v>0.86750676233266477</v>
      </c>
      <c r="S31" s="17"/>
      <c r="T31" s="17"/>
      <c r="U31" s="17"/>
      <c r="V31" s="17"/>
      <c r="W31" s="19"/>
    </row>
    <row r="32" spans="1:23" ht="14.25" customHeight="1" x14ac:dyDescent="0.15">
      <c r="A32" s="51" t="s">
        <v>58</v>
      </c>
      <c r="B32" s="40">
        <v>1</v>
      </c>
      <c r="C32" s="124" t="s">
        <v>85</v>
      </c>
      <c r="D32" s="184"/>
      <c r="E32" s="125"/>
      <c r="F32" s="128"/>
      <c r="G32" s="125"/>
      <c r="H32" s="176"/>
      <c r="I32" s="128"/>
      <c r="J32" s="128"/>
      <c r="K32" s="125"/>
      <c r="L32" s="176"/>
      <c r="M32" s="128"/>
      <c r="N32" s="128"/>
      <c r="O32" s="125"/>
      <c r="P32" s="176"/>
      <c r="Q32" s="75"/>
      <c r="R32" s="174"/>
      <c r="S32" s="17"/>
      <c r="T32" s="17"/>
      <c r="U32" s="17"/>
      <c r="V32" s="17"/>
      <c r="W32" s="19"/>
    </row>
    <row r="33" spans="1:23" ht="14.25" customHeight="1" x14ac:dyDescent="0.15">
      <c r="A33" s="208"/>
      <c r="B33" s="41">
        <v>2</v>
      </c>
      <c r="C33" s="124" t="s">
        <v>85</v>
      </c>
      <c r="D33" s="185"/>
      <c r="E33" s="129"/>
      <c r="F33" s="128"/>
      <c r="G33" s="129"/>
      <c r="H33" s="133"/>
      <c r="I33" s="128"/>
      <c r="J33" s="128"/>
      <c r="K33" s="129"/>
      <c r="L33" s="133"/>
      <c r="M33" s="128"/>
      <c r="N33" s="128"/>
      <c r="O33" s="129"/>
      <c r="P33" s="133"/>
      <c r="Q33" s="80"/>
      <c r="R33" s="86"/>
      <c r="S33" s="17"/>
      <c r="T33" s="17"/>
      <c r="U33" s="17"/>
      <c r="V33" s="17"/>
      <c r="W33" s="19"/>
    </row>
    <row r="34" spans="1:23" ht="14.25" customHeight="1" x14ac:dyDescent="0.15">
      <c r="A34" s="208"/>
      <c r="B34" s="43">
        <v>3</v>
      </c>
      <c r="C34" s="124" t="s">
        <v>85</v>
      </c>
      <c r="D34" s="185"/>
      <c r="E34" s="128"/>
      <c r="F34" s="128"/>
      <c r="G34" s="129"/>
      <c r="H34" s="133"/>
      <c r="I34" s="128"/>
      <c r="J34" s="128"/>
      <c r="K34" s="129"/>
      <c r="L34" s="133"/>
      <c r="M34" s="128"/>
      <c r="N34" s="128"/>
      <c r="O34" s="129"/>
      <c r="P34" s="133"/>
      <c r="Q34" s="80"/>
      <c r="R34" s="86"/>
      <c r="S34" s="17"/>
      <c r="T34" s="17"/>
      <c r="U34" s="17"/>
      <c r="V34" s="17"/>
      <c r="W34" s="19"/>
    </row>
    <row r="35" spans="1:23" ht="14.25" customHeight="1" x14ac:dyDescent="0.15">
      <c r="A35" s="42"/>
      <c r="B35" s="43">
        <v>4</v>
      </c>
      <c r="C35" s="124" t="s">
        <v>85</v>
      </c>
      <c r="D35" s="185"/>
      <c r="E35" s="128"/>
      <c r="F35" s="128"/>
      <c r="G35" s="129"/>
      <c r="H35" s="133"/>
      <c r="I35" s="128"/>
      <c r="J35" s="128"/>
      <c r="K35" s="129"/>
      <c r="L35" s="133"/>
      <c r="M35" s="128"/>
      <c r="N35" s="128"/>
      <c r="O35" s="129"/>
      <c r="P35" s="133"/>
      <c r="Q35" s="80"/>
      <c r="R35" s="86"/>
      <c r="S35" s="17"/>
      <c r="T35" s="17"/>
      <c r="U35" s="17"/>
      <c r="V35" s="17"/>
      <c r="W35" s="19"/>
    </row>
    <row r="36" spans="1:23" ht="14.25" customHeight="1" x14ac:dyDescent="0.15">
      <c r="A36" s="42"/>
      <c r="B36" s="43">
        <v>5</v>
      </c>
      <c r="C36" s="124" t="s">
        <v>85</v>
      </c>
      <c r="D36" s="185"/>
      <c r="E36" s="128"/>
      <c r="F36" s="128"/>
      <c r="G36" s="129"/>
      <c r="H36" s="133"/>
      <c r="I36" s="128"/>
      <c r="J36" s="128"/>
      <c r="K36" s="129"/>
      <c r="L36" s="133"/>
      <c r="M36" s="128"/>
      <c r="N36" s="128"/>
      <c r="O36" s="129"/>
      <c r="P36" s="133"/>
      <c r="Q36" s="80"/>
      <c r="R36" s="86"/>
      <c r="S36" s="17"/>
      <c r="T36" s="17"/>
      <c r="U36" s="17"/>
      <c r="V36" s="17"/>
      <c r="W36" s="19"/>
    </row>
    <row r="37" spans="1:23" ht="14.25" customHeight="1" x14ac:dyDescent="0.15">
      <c r="A37" s="42"/>
      <c r="B37" s="43">
        <v>6</v>
      </c>
      <c r="C37" s="124" t="s">
        <v>85</v>
      </c>
      <c r="D37" s="185"/>
      <c r="E37" s="128"/>
      <c r="F37" s="128"/>
      <c r="G37" s="129"/>
      <c r="H37" s="133"/>
      <c r="I37" s="128"/>
      <c r="J37" s="128"/>
      <c r="K37" s="129"/>
      <c r="L37" s="133"/>
      <c r="M37" s="128"/>
      <c r="N37" s="128"/>
      <c r="O37" s="129"/>
      <c r="P37" s="133"/>
      <c r="Q37" s="80"/>
      <c r="R37" s="86"/>
      <c r="S37" s="17"/>
      <c r="T37" s="17"/>
      <c r="U37" s="17"/>
      <c r="V37" s="17"/>
      <c r="W37" s="19"/>
    </row>
    <row r="38" spans="1:23" ht="14.25" customHeight="1" x14ac:dyDescent="0.15">
      <c r="A38" s="42"/>
      <c r="B38" s="43">
        <v>7</v>
      </c>
      <c r="C38" s="124" t="s">
        <v>85</v>
      </c>
      <c r="D38" s="186"/>
      <c r="E38" s="128"/>
      <c r="F38" s="128"/>
      <c r="G38" s="129"/>
      <c r="H38" s="133"/>
      <c r="I38" s="128"/>
      <c r="J38" s="128"/>
      <c r="K38" s="129"/>
      <c r="L38" s="133"/>
      <c r="M38" s="128"/>
      <c r="N38" s="128"/>
      <c r="O38" s="129"/>
      <c r="P38" s="133"/>
      <c r="Q38" s="80"/>
      <c r="R38" s="86"/>
      <c r="S38" s="17"/>
      <c r="T38" s="17"/>
      <c r="U38" s="17"/>
      <c r="V38" s="17"/>
      <c r="W38" s="19"/>
    </row>
    <row r="39" spans="1:23" ht="14.25" customHeight="1" x14ac:dyDescent="0.15">
      <c r="A39" s="42"/>
      <c r="B39" s="43">
        <v>8</v>
      </c>
      <c r="C39" s="124" t="s">
        <v>85</v>
      </c>
      <c r="D39" s="186"/>
      <c r="E39" s="128"/>
      <c r="F39" s="128"/>
      <c r="G39" s="129"/>
      <c r="H39" s="133"/>
      <c r="I39" s="128"/>
      <c r="J39" s="128"/>
      <c r="K39" s="129"/>
      <c r="L39" s="133"/>
      <c r="M39" s="128"/>
      <c r="N39" s="128"/>
      <c r="O39" s="129"/>
      <c r="P39" s="133"/>
      <c r="Q39" s="80"/>
      <c r="R39" s="86"/>
      <c r="S39" s="17"/>
      <c r="T39" s="17"/>
      <c r="U39" s="17"/>
      <c r="V39" s="17"/>
      <c r="W39" s="19"/>
    </row>
    <row r="40" spans="1:23" ht="14.25" customHeight="1" x14ac:dyDescent="0.15">
      <c r="A40" s="42"/>
      <c r="B40" s="43">
        <v>9</v>
      </c>
      <c r="C40" s="132"/>
      <c r="D40" s="131"/>
      <c r="E40" s="128"/>
      <c r="F40" s="128"/>
      <c r="G40" s="129"/>
      <c r="H40" s="133"/>
      <c r="I40" s="128"/>
      <c r="J40" s="128"/>
      <c r="K40" s="129"/>
      <c r="L40" s="133"/>
      <c r="M40" s="128"/>
      <c r="N40" s="128"/>
      <c r="O40" s="129"/>
      <c r="P40" s="133"/>
      <c r="Q40" s="80"/>
      <c r="R40" s="86"/>
      <c r="S40" s="17"/>
      <c r="T40" s="17"/>
      <c r="U40" s="17"/>
      <c r="V40" s="17"/>
      <c r="W40" s="19"/>
    </row>
    <row r="41" spans="1:23" ht="14.25" customHeight="1" x14ac:dyDescent="0.15">
      <c r="A41" s="42"/>
      <c r="B41" s="198">
        <v>10</v>
      </c>
      <c r="C41" s="199"/>
      <c r="D41" s="200"/>
      <c r="E41" s="128"/>
      <c r="F41" s="128"/>
      <c r="G41" s="134"/>
      <c r="H41" s="136"/>
      <c r="I41" s="128"/>
      <c r="J41" s="128"/>
      <c r="K41" s="134"/>
      <c r="L41" s="136"/>
      <c r="M41" s="128"/>
      <c r="N41" s="128"/>
      <c r="O41" s="134"/>
      <c r="P41" s="136"/>
      <c r="Q41" s="89"/>
      <c r="R41" s="90"/>
      <c r="S41" s="17"/>
      <c r="T41" s="17"/>
      <c r="U41" s="17"/>
      <c r="V41" s="17"/>
      <c r="W41" s="19"/>
    </row>
    <row r="42" spans="1:23" ht="14.25" customHeight="1" x14ac:dyDescent="0.15">
      <c r="A42" s="137"/>
      <c r="B42" s="138"/>
      <c r="C42" s="138"/>
      <c r="D42" s="139" t="s">
        <v>47</v>
      </c>
      <c r="E42" s="95" t="e">
        <f t="shared" ref="E42:R42" si="12">AVERAGE(E32:E41)</f>
        <v>#DIV/0!</v>
      </c>
      <c r="F42" s="96" t="e">
        <f t="shared" si="12"/>
        <v>#DIV/0!</v>
      </c>
      <c r="G42" s="95" t="e">
        <f t="shared" si="12"/>
        <v>#DIV/0!</v>
      </c>
      <c r="H42" s="96" t="e">
        <f t="shared" si="12"/>
        <v>#DIV/0!</v>
      </c>
      <c r="I42" s="95" t="e">
        <f t="shared" si="12"/>
        <v>#DIV/0!</v>
      </c>
      <c r="J42" s="96" t="e">
        <f t="shared" si="12"/>
        <v>#DIV/0!</v>
      </c>
      <c r="K42" s="95" t="e">
        <f t="shared" si="12"/>
        <v>#DIV/0!</v>
      </c>
      <c r="L42" s="96" t="e">
        <f t="shared" si="12"/>
        <v>#DIV/0!</v>
      </c>
      <c r="M42" s="95" t="e">
        <f t="shared" si="12"/>
        <v>#DIV/0!</v>
      </c>
      <c r="N42" s="96" t="e">
        <f t="shared" si="12"/>
        <v>#DIV/0!</v>
      </c>
      <c r="O42" s="95" t="e">
        <f t="shared" si="12"/>
        <v>#DIV/0!</v>
      </c>
      <c r="P42" s="96" t="e">
        <f t="shared" si="12"/>
        <v>#DIV/0!</v>
      </c>
      <c r="Q42" s="95" t="e">
        <f t="shared" si="12"/>
        <v>#DIV/0!</v>
      </c>
      <c r="R42" s="96" t="e">
        <f t="shared" si="12"/>
        <v>#DIV/0!</v>
      </c>
      <c r="S42" s="17"/>
      <c r="T42" s="17"/>
      <c r="U42" s="17"/>
      <c r="V42" s="17"/>
      <c r="W42" s="19"/>
    </row>
    <row r="43" spans="1:23" ht="14.25" customHeight="1" x14ac:dyDescent="0.15">
      <c r="A43" s="140"/>
      <c r="B43" s="141"/>
      <c r="C43" s="141"/>
      <c r="D43" s="142" t="s">
        <v>48</v>
      </c>
      <c r="E43" s="101" t="e">
        <f t="shared" ref="E43:R43" si="13">STDEV(E32:E41)/SQRT(COUNT(E32:E41))</f>
        <v>#DIV/0!</v>
      </c>
      <c r="F43" s="102" t="e">
        <f t="shared" si="13"/>
        <v>#DIV/0!</v>
      </c>
      <c r="G43" s="101" t="e">
        <f t="shared" si="13"/>
        <v>#DIV/0!</v>
      </c>
      <c r="H43" s="102" t="e">
        <f t="shared" si="13"/>
        <v>#DIV/0!</v>
      </c>
      <c r="I43" s="101" t="e">
        <f t="shared" si="13"/>
        <v>#DIV/0!</v>
      </c>
      <c r="J43" s="102" t="e">
        <f t="shared" si="13"/>
        <v>#DIV/0!</v>
      </c>
      <c r="K43" s="101" t="e">
        <f t="shared" si="13"/>
        <v>#DIV/0!</v>
      </c>
      <c r="L43" s="102" t="e">
        <f t="shared" si="13"/>
        <v>#DIV/0!</v>
      </c>
      <c r="M43" s="101" t="e">
        <f t="shared" si="13"/>
        <v>#DIV/0!</v>
      </c>
      <c r="N43" s="102" t="e">
        <f t="shared" si="13"/>
        <v>#DIV/0!</v>
      </c>
      <c r="O43" s="101" t="e">
        <f t="shared" si="13"/>
        <v>#DIV/0!</v>
      </c>
      <c r="P43" s="102" t="e">
        <f t="shared" si="13"/>
        <v>#DIV/0!</v>
      </c>
      <c r="Q43" s="101" t="e">
        <f t="shared" si="13"/>
        <v>#DIV/0!</v>
      </c>
      <c r="R43" s="102" t="e">
        <f t="shared" si="13"/>
        <v>#DIV/0!</v>
      </c>
      <c r="S43" s="17"/>
      <c r="T43" s="17"/>
      <c r="U43" s="17"/>
      <c r="V43" s="17"/>
      <c r="W43" s="19"/>
    </row>
    <row r="44" spans="1:23" ht="14.25" customHeight="1" x14ac:dyDescent="0.15">
      <c r="A44" s="52" t="s">
        <v>64</v>
      </c>
      <c r="B44" s="53">
        <v>1</v>
      </c>
      <c r="C44" s="143" t="s">
        <v>85</v>
      </c>
      <c r="D44" s="187"/>
      <c r="E44" s="125"/>
      <c r="F44" s="128"/>
      <c r="G44" s="125"/>
      <c r="H44" s="176"/>
      <c r="I44" s="128"/>
      <c r="J44" s="128"/>
      <c r="K44" s="125"/>
      <c r="L44" s="176"/>
      <c r="M44" s="128"/>
      <c r="N44" s="128"/>
      <c r="O44" s="125"/>
      <c r="P44" s="176"/>
      <c r="Q44" s="75"/>
      <c r="R44" s="174"/>
      <c r="S44" s="17"/>
      <c r="T44" s="17"/>
      <c r="U44" s="17"/>
      <c r="V44" s="17"/>
      <c r="W44" s="19"/>
    </row>
    <row r="45" spans="1:23" ht="14.25" customHeight="1" x14ac:dyDescent="0.15">
      <c r="A45" s="209"/>
      <c r="B45" s="54">
        <v>2</v>
      </c>
      <c r="C45" s="143" t="s">
        <v>85</v>
      </c>
      <c r="D45" s="187"/>
      <c r="E45" s="129"/>
      <c r="F45" s="128"/>
      <c r="G45" s="129"/>
      <c r="H45" s="133"/>
      <c r="I45" s="128"/>
      <c r="J45" s="128"/>
      <c r="K45" s="129"/>
      <c r="L45" s="133"/>
      <c r="M45" s="128"/>
      <c r="N45" s="128"/>
      <c r="O45" s="129"/>
      <c r="P45" s="133"/>
      <c r="Q45" s="80"/>
      <c r="R45" s="86"/>
      <c r="S45" s="17"/>
      <c r="T45" s="17"/>
      <c r="U45" s="17"/>
      <c r="V45" s="17"/>
      <c r="W45" s="19"/>
    </row>
    <row r="46" spans="1:23" ht="14.25" customHeight="1" x14ac:dyDescent="0.15">
      <c r="A46" s="209"/>
      <c r="B46" s="56">
        <v>3</v>
      </c>
      <c r="C46" s="143" t="s">
        <v>85</v>
      </c>
      <c r="D46" s="188"/>
      <c r="E46" s="128"/>
      <c r="F46" s="128"/>
      <c r="G46" s="129"/>
      <c r="H46" s="133"/>
      <c r="I46" s="128"/>
      <c r="J46" s="128"/>
      <c r="K46" s="129"/>
      <c r="L46" s="133"/>
      <c r="M46" s="128"/>
      <c r="N46" s="128"/>
      <c r="O46" s="129"/>
      <c r="P46" s="133"/>
      <c r="Q46" s="80"/>
      <c r="R46" s="86"/>
      <c r="S46" s="17"/>
      <c r="T46" s="17"/>
      <c r="U46" s="17"/>
      <c r="V46" s="17"/>
      <c r="W46" s="19"/>
    </row>
    <row r="47" spans="1:23" ht="14.25" customHeight="1" x14ac:dyDescent="0.15">
      <c r="A47" s="55"/>
      <c r="B47" s="56">
        <v>4</v>
      </c>
      <c r="C47" s="143" t="s">
        <v>85</v>
      </c>
      <c r="D47" s="188"/>
      <c r="E47" s="128"/>
      <c r="F47" s="128"/>
      <c r="G47" s="129"/>
      <c r="H47" s="133"/>
      <c r="I47" s="128"/>
      <c r="J47" s="128"/>
      <c r="K47" s="129"/>
      <c r="L47" s="133"/>
      <c r="M47" s="128"/>
      <c r="N47" s="128"/>
      <c r="O47" s="129"/>
      <c r="P47" s="133"/>
      <c r="Q47" s="80"/>
      <c r="R47" s="86"/>
      <c r="S47" s="17"/>
      <c r="T47" s="17"/>
      <c r="U47" s="17"/>
      <c r="V47" s="17"/>
      <c r="W47" s="19"/>
    </row>
    <row r="48" spans="1:23" ht="14.25" customHeight="1" x14ac:dyDescent="0.15">
      <c r="A48" s="55"/>
      <c r="B48" s="56">
        <v>5</v>
      </c>
      <c r="C48" s="143" t="s">
        <v>85</v>
      </c>
      <c r="D48" s="188"/>
      <c r="E48" s="128"/>
      <c r="F48" s="128"/>
      <c r="G48" s="129"/>
      <c r="H48" s="133"/>
      <c r="I48" s="128"/>
      <c r="J48" s="128"/>
      <c r="K48" s="129"/>
      <c r="L48" s="133"/>
      <c r="M48" s="128"/>
      <c r="N48" s="128"/>
      <c r="O48" s="129"/>
      <c r="P48" s="133"/>
      <c r="Q48" s="80"/>
      <c r="R48" s="86"/>
      <c r="S48" s="17"/>
      <c r="T48" s="17"/>
      <c r="U48" s="17"/>
      <c r="V48" s="17"/>
      <c r="W48" s="19"/>
    </row>
    <row r="49" spans="1:23" ht="14.25" customHeight="1" x14ac:dyDescent="0.15">
      <c r="A49" s="55"/>
      <c r="B49" s="56">
        <v>6</v>
      </c>
      <c r="C49" s="143" t="s">
        <v>85</v>
      </c>
      <c r="D49" s="188"/>
      <c r="E49" s="128"/>
      <c r="F49" s="128"/>
      <c r="G49" s="129"/>
      <c r="H49" s="133"/>
      <c r="I49" s="128"/>
      <c r="J49" s="128"/>
      <c r="K49" s="129"/>
      <c r="L49" s="133"/>
      <c r="M49" s="128"/>
      <c r="N49" s="128"/>
      <c r="O49" s="129"/>
      <c r="P49" s="133"/>
      <c r="Q49" s="80"/>
      <c r="R49" s="86"/>
      <c r="S49" s="17"/>
      <c r="T49" s="17"/>
      <c r="U49" s="17"/>
      <c r="V49" s="17"/>
      <c r="W49" s="19"/>
    </row>
    <row r="50" spans="1:23" ht="14.25" customHeight="1" x14ac:dyDescent="0.15">
      <c r="A50" s="55"/>
      <c r="B50" s="56">
        <v>7</v>
      </c>
      <c r="C50" s="143" t="s">
        <v>85</v>
      </c>
      <c r="D50" s="189"/>
      <c r="E50" s="128"/>
      <c r="F50" s="128"/>
      <c r="G50" s="129"/>
      <c r="H50" s="133"/>
      <c r="I50" s="128"/>
      <c r="J50" s="128"/>
      <c r="K50" s="129"/>
      <c r="L50" s="133"/>
      <c r="M50" s="128"/>
      <c r="N50" s="128"/>
      <c r="O50" s="129"/>
      <c r="P50" s="133"/>
      <c r="Q50" s="80"/>
      <c r="R50" s="86"/>
      <c r="S50" s="17"/>
      <c r="T50" s="17"/>
      <c r="U50" s="17"/>
      <c r="V50" s="17"/>
      <c r="W50" s="19"/>
    </row>
    <row r="51" spans="1:23" ht="14.25" customHeight="1" x14ac:dyDescent="0.15">
      <c r="A51" s="55"/>
      <c r="B51" s="56">
        <v>8</v>
      </c>
      <c r="C51" s="143" t="s">
        <v>85</v>
      </c>
      <c r="D51" s="189"/>
      <c r="E51" s="128"/>
      <c r="F51" s="128"/>
      <c r="G51" s="129"/>
      <c r="H51" s="133"/>
      <c r="I51" s="128"/>
      <c r="J51" s="128"/>
      <c r="K51" s="129"/>
      <c r="L51" s="133"/>
      <c r="M51" s="128"/>
      <c r="N51" s="128"/>
      <c r="O51" s="129"/>
      <c r="P51" s="133"/>
      <c r="Q51" s="80"/>
      <c r="R51" s="86"/>
      <c r="S51" s="17"/>
      <c r="T51" s="17"/>
      <c r="U51" s="17"/>
      <c r="V51" s="17"/>
      <c r="W51" s="19"/>
    </row>
    <row r="52" spans="1:23" ht="14.25" customHeight="1" x14ac:dyDescent="0.15">
      <c r="A52" s="55"/>
      <c r="B52" s="56">
        <v>9</v>
      </c>
      <c r="C52" s="145"/>
      <c r="D52" s="144"/>
      <c r="E52" s="128"/>
      <c r="F52" s="128"/>
      <c r="G52" s="129"/>
      <c r="H52" s="133"/>
      <c r="I52" s="128"/>
      <c r="J52" s="128"/>
      <c r="K52" s="129"/>
      <c r="L52" s="133"/>
      <c r="M52" s="128"/>
      <c r="N52" s="128"/>
      <c r="O52" s="129"/>
      <c r="P52" s="133"/>
      <c r="Q52" s="80"/>
      <c r="R52" s="86"/>
      <c r="S52" s="17"/>
      <c r="T52" s="17"/>
      <c r="U52" s="17"/>
      <c r="V52" s="17"/>
      <c r="W52" s="19"/>
    </row>
    <row r="53" spans="1:23" ht="14.25" customHeight="1" x14ac:dyDescent="0.15">
      <c r="A53" s="55"/>
      <c r="B53" s="201">
        <v>10</v>
      </c>
      <c r="C53" s="202"/>
      <c r="D53" s="203"/>
      <c r="E53" s="128"/>
      <c r="F53" s="128"/>
      <c r="G53" s="134"/>
      <c r="H53" s="136"/>
      <c r="I53" s="128"/>
      <c r="J53" s="128"/>
      <c r="K53" s="134"/>
      <c r="L53" s="136"/>
      <c r="M53" s="128"/>
      <c r="N53" s="128"/>
      <c r="O53" s="134"/>
      <c r="P53" s="136"/>
      <c r="Q53" s="89"/>
      <c r="R53" s="90"/>
      <c r="S53" s="17"/>
      <c r="T53" s="17"/>
      <c r="U53" s="17"/>
      <c r="V53" s="17"/>
      <c r="W53" s="19"/>
    </row>
    <row r="54" spans="1:23" ht="14.25" customHeight="1" x14ac:dyDescent="0.15">
      <c r="A54" s="146"/>
      <c r="B54" s="147"/>
      <c r="C54" s="147"/>
      <c r="D54" s="148" t="s">
        <v>47</v>
      </c>
      <c r="E54" s="95" t="e">
        <f t="shared" ref="E54:R54" si="14">AVERAGE(E44:E53)</f>
        <v>#DIV/0!</v>
      </c>
      <c r="F54" s="96" t="e">
        <f t="shared" si="14"/>
        <v>#DIV/0!</v>
      </c>
      <c r="G54" s="95" t="e">
        <f t="shared" si="14"/>
        <v>#DIV/0!</v>
      </c>
      <c r="H54" s="96" t="e">
        <f t="shared" si="14"/>
        <v>#DIV/0!</v>
      </c>
      <c r="I54" s="95" t="e">
        <f t="shared" si="14"/>
        <v>#DIV/0!</v>
      </c>
      <c r="J54" s="96" t="e">
        <f t="shared" si="14"/>
        <v>#DIV/0!</v>
      </c>
      <c r="K54" s="95" t="e">
        <f t="shared" si="14"/>
        <v>#DIV/0!</v>
      </c>
      <c r="L54" s="96" t="e">
        <f t="shared" si="14"/>
        <v>#DIV/0!</v>
      </c>
      <c r="M54" s="95" t="e">
        <f t="shared" si="14"/>
        <v>#DIV/0!</v>
      </c>
      <c r="N54" s="96" t="e">
        <f t="shared" si="14"/>
        <v>#DIV/0!</v>
      </c>
      <c r="O54" s="95" t="e">
        <f t="shared" si="14"/>
        <v>#DIV/0!</v>
      </c>
      <c r="P54" s="96" t="e">
        <f t="shared" si="14"/>
        <v>#DIV/0!</v>
      </c>
      <c r="Q54" s="95" t="e">
        <f t="shared" si="14"/>
        <v>#DIV/0!</v>
      </c>
      <c r="R54" s="96" t="e">
        <f t="shared" si="14"/>
        <v>#DIV/0!</v>
      </c>
      <c r="S54" s="17"/>
      <c r="T54" s="17"/>
      <c r="U54" s="17"/>
      <c r="V54" s="17"/>
      <c r="W54" s="19"/>
    </row>
    <row r="55" spans="1:23" ht="14.25" customHeight="1" x14ac:dyDescent="0.15">
      <c r="A55" s="149"/>
      <c r="B55" s="150"/>
      <c r="C55" s="150"/>
      <c r="D55" s="151" t="s">
        <v>48</v>
      </c>
      <c r="E55" s="101" t="e">
        <f t="shared" ref="E55:R55" si="15">STDEV(E44:E53)/SQRT(COUNT(E44:E53))</f>
        <v>#DIV/0!</v>
      </c>
      <c r="F55" s="102" t="e">
        <f t="shared" si="15"/>
        <v>#DIV/0!</v>
      </c>
      <c r="G55" s="101" t="e">
        <f t="shared" si="15"/>
        <v>#DIV/0!</v>
      </c>
      <c r="H55" s="102" t="e">
        <f t="shared" si="15"/>
        <v>#DIV/0!</v>
      </c>
      <c r="I55" s="101" t="e">
        <f t="shared" si="15"/>
        <v>#DIV/0!</v>
      </c>
      <c r="J55" s="102" t="e">
        <f t="shared" si="15"/>
        <v>#DIV/0!</v>
      </c>
      <c r="K55" s="101" t="e">
        <f t="shared" si="15"/>
        <v>#DIV/0!</v>
      </c>
      <c r="L55" s="102" t="e">
        <f t="shared" si="15"/>
        <v>#DIV/0!</v>
      </c>
      <c r="M55" s="101" t="e">
        <f t="shared" si="15"/>
        <v>#DIV/0!</v>
      </c>
      <c r="N55" s="102" t="e">
        <f t="shared" si="15"/>
        <v>#DIV/0!</v>
      </c>
      <c r="O55" s="101" t="e">
        <f t="shared" si="15"/>
        <v>#DIV/0!</v>
      </c>
      <c r="P55" s="102" t="e">
        <f t="shared" si="15"/>
        <v>#DIV/0!</v>
      </c>
      <c r="Q55" s="101" t="e">
        <f t="shared" si="15"/>
        <v>#DIV/0!</v>
      </c>
      <c r="R55" s="102" t="e">
        <f t="shared" si="15"/>
        <v>#DIV/0!</v>
      </c>
      <c r="S55" s="17"/>
      <c r="T55" s="17"/>
      <c r="U55" s="17"/>
      <c r="V55" s="17"/>
      <c r="W55" s="19"/>
    </row>
    <row r="56" spans="1:23" ht="14.25" customHeight="1" x14ac:dyDescent="0.15">
      <c r="A56" s="171"/>
      <c r="B56" s="152"/>
      <c r="C56" s="152" t="s">
        <v>50</v>
      </c>
      <c r="D56" s="152" t="s">
        <v>51</v>
      </c>
      <c r="E56" s="153">
        <f>TTEST(E8:E17,E20:E29,2,2)</f>
        <v>0.14100298075611956</v>
      </c>
      <c r="F56" s="153">
        <f t="shared" ref="F56:R56" si="16">TTEST(F8:F17,F20:F29,2,2)</f>
        <v>6.5521057621835688E-2</v>
      </c>
      <c r="G56" s="153">
        <f t="shared" si="16"/>
        <v>5.0288214547128205E-3</v>
      </c>
      <c r="H56" s="153">
        <f t="shared" si="16"/>
        <v>5.0423532403663755E-3</v>
      </c>
      <c r="I56" s="153">
        <f t="shared" si="16"/>
        <v>0.19152068242151388</v>
      </c>
      <c r="J56" s="153">
        <f t="shared" si="16"/>
        <v>0.18599383846941198</v>
      </c>
      <c r="K56" s="153">
        <f t="shared" si="16"/>
        <v>0.11031437158472893</v>
      </c>
      <c r="L56" s="153">
        <f t="shared" si="16"/>
        <v>0.11298280107696551</v>
      </c>
      <c r="M56" s="153">
        <f t="shared" si="16"/>
        <v>0.8412140767333085</v>
      </c>
      <c r="N56" s="153">
        <f t="shared" si="16"/>
        <v>0.86149288836085436</v>
      </c>
      <c r="O56" s="153">
        <f t="shared" si="16"/>
        <v>6.9780350023649802E-3</v>
      </c>
      <c r="P56" s="153">
        <f t="shared" si="16"/>
        <v>7.8819211852277568E-3</v>
      </c>
      <c r="Q56" s="153">
        <f t="shared" si="16"/>
        <v>5.5897661363589257E-2</v>
      </c>
      <c r="R56" s="153">
        <f t="shared" si="16"/>
        <v>4.5421248315654528E-2</v>
      </c>
      <c r="S56" s="17"/>
      <c r="T56" s="17"/>
      <c r="U56" s="17"/>
      <c r="V56" s="17"/>
      <c r="W56" s="19"/>
    </row>
    <row r="57" spans="1:23" ht="14.25" customHeight="1" x14ac:dyDescent="0.15">
      <c r="A57" s="171"/>
      <c r="B57" s="152"/>
      <c r="C57" s="152"/>
      <c r="D57" s="152" t="s">
        <v>59</v>
      </c>
      <c r="E57" s="153" t="e">
        <f>TTEST(E8:E17,E32:E41,2,2)</f>
        <v>#DIV/0!</v>
      </c>
      <c r="F57" s="153" t="e">
        <f t="shared" ref="F57:R57" si="17">TTEST(F8:F17,F32:F41,2,2)</f>
        <v>#DIV/0!</v>
      </c>
      <c r="G57" s="153" t="e">
        <f t="shared" si="17"/>
        <v>#DIV/0!</v>
      </c>
      <c r="H57" s="153" t="e">
        <f t="shared" si="17"/>
        <v>#DIV/0!</v>
      </c>
      <c r="I57" s="153" t="e">
        <f t="shared" si="17"/>
        <v>#DIV/0!</v>
      </c>
      <c r="J57" s="153" t="e">
        <f t="shared" si="17"/>
        <v>#DIV/0!</v>
      </c>
      <c r="K57" s="153" t="e">
        <f t="shared" si="17"/>
        <v>#DIV/0!</v>
      </c>
      <c r="L57" s="153" t="e">
        <f t="shared" si="17"/>
        <v>#DIV/0!</v>
      </c>
      <c r="M57" s="153" t="e">
        <f t="shared" si="17"/>
        <v>#DIV/0!</v>
      </c>
      <c r="N57" s="153" t="e">
        <f t="shared" si="17"/>
        <v>#DIV/0!</v>
      </c>
      <c r="O57" s="153" t="e">
        <f t="shared" si="17"/>
        <v>#DIV/0!</v>
      </c>
      <c r="P57" s="153" t="e">
        <f t="shared" si="17"/>
        <v>#DIV/0!</v>
      </c>
      <c r="Q57" s="153" t="e">
        <f t="shared" si="17"/>
        <v>#DIV/0!</v>
      </c>
      <c r="R57" s="153" t="e">
        <f t="shared" si="17"/>
        <v>#DIV/0!</v>
      </c>
      <c r="S57" s="17"/>
      <c r="T57" s="17"/>
      <c r="U57" s="17"/>
      <c r="V57" s="17"/>
      <c r="W57" s="19"/>
    </row>
    <row r="58" spans="1:23" ht="14.25" customHeight="1" x14ac:dyDescent="0.15">
      <c r="A58" s="171"/>
      <c r="B58" s="152"/>
      <c r="C58" s="152"/>
      <c r="D58" s="152" t="s">
        <v>65</v>
      </c>
      <c r="E58" s="153" t="e">
        <f>TTEST(E8:E17,E44:E53,2,2)</f>
        <v>#DIV/0!</v>
      </c>
      <c r="F58" s="153" t="e">
        <f t="shared" ref="F58:R58" si="18">TTEST(F8:F17,F44:F53,2,2)</f>
        <v>#DIV/0!</v>
      </c>
      <c r="G58" s="153" t="e">
        <f t="shared" si="18"/>
        <v>#DIV/0!</v>
      </c>
      <c r="H58" s="153" t="e">
        <f t="shared" si="18"/>
        <v>#DIV/0!</v>
      </c>
      <c r="I58" s="153" t="e">
        <f t="shared" si="18"/>
        <v>#DIV/0!</v>
      </c>
      <c r="J58" s="153" t="e">
        <f t="shared" si="18"/>
        <v>#DIV/0!</v>
      </c>
      <c r="K58" s="153" t="e">
        <f t="shared" si="18"/>
        <v>#DIV/0!</v>
      </c>
      <c r="L58" s="153" t="e">
        <f t="shared" si="18"/>
        <v>#DIV/0!</v>
      </c>
      <c r="M58" s="153" t="e">
        <f t="shared" si="18"/>
        <v>#DIV/0!</v>
      </c>
      <c r="N58" s="153" t="e">
        <f t="shared" si="18"/>
        <v>#DIV/0!</v>
      </c>
      <c r="O58" s="153" t="e">
        <f t="shared" si="18"/>
        <v>#DIV/0!</v>
      </c>
      <c r="P58" s="153" t="e">
        <f t="shared" si="18"/>
        <v>#DIV/0!</v>
      </c>
      <c r="Q58" s="153" t="e">
        <f t="shared" si="18"/>
        <v>#DIV/0!</v>
      </c>
      <c r="R58" s="153" t="e">
        <f t="shared" si="18"/>
        <v>#DIV/0!</v>
      </c>
      <c r="S58" s="17"/>
      <c r="T58" s="17"/>
      <c r="U58" s="17"/>
      <c r="V58" s="17"/>
      <c r="W58" s="19"/>
    </row>
    <row r="59" spans="1:23" ht="14.25" customHeight="1" x14ac:dyDescent="0.15">
      <c r="A59" s="171"/>
      <c r="B59" s="152"/>
      <c r="C59" s="152"/>
      <c r="D59" s="152" t="s">
        <v>60</v>
      </c>
      <c r="E59" s="153" t="e">
        <f>TTEST(E20:E29,E32:E41,2,2)</f>
        <v>#DIV/0!</v>
      </c>
      <c r="F59" s="153" t="e">
        <f t="shared" ref="F59:R59" si="19">TTEST(F20:F29,F32:F41,2,2)</f>
        <v>#DIV/0!</v>
      </c>
      <c r="G59" s="153" t="e">
        <f t="shared" si="19"/>
        <v>#DIV/0!</v>
      </c>
      <c r="H59" s="153" t="e">
        <f t="shared" si="19"/>
        <v>#DIV/0!</v>
      </c>
      <c r="I59" s="153" t="e">
        <f t="shared" si="19"/>
        <v>#DIV/0!</v>
      </c>
      <c r="J59" s="153" t="e">
        <f t="shared" si="19"/>
        <v>#DIV/0!</v>
      </c>
      <c r="K59" s="153" t="e">
        <f t="shared" si="19"/>
        <v>#DIV/0!</v>
      </c>
      <c r="L59" s="153" t="e">
        <f t="shared" si="19"/>
        <v>#DIV/0!</v>
      </c>
      <c r="M59" s="153" t="e">
        <f t="shared" si="19"/>
        <v>#DIV/0!</v>
      </c>
      <c r="N59" s="153" t="e">
        <f t="shared" si="19"/>
        <v>#DIV/0!</v>
      </c>
      <c r="O59" s="153" t="e">
        <f t="shared" si="19"/>
        <v>#DIV/0!</v>
      </c>
      <c r="P59" s="153" t="e">
        <f t="shared" si="19"/>
        <v>#DIV/0!</v>
      </c>
      <c r="Q59" s="153" t="e">
        <f t="shared" si="19"/>
        <v>#DIV/0!</v>
      </c>
      <c r="R59" s="153" t="e">
        <f t="shared" si="19"/>
        <v>#DIV/0!</v>
      </c>
      <c r="S59" s="17"/>
      <c r="T59" s="17"/>
      <c r="U59" s="17"/>
      <c r="V59" s="17"/>
      <c r="W59" s="19"/>
    </row>
    <row r="60" spans="1:23" ht="14.25" customHeight="1" x14ac:dyDescent="0.15">
      <c r="A60" s="171"/>
      <c r="B60" s="152"/>
      <c r="C60" s="152"/>
      <c r="D60" s="152" t="s">
        <v>66</v>
      </c>
      <c r="E60" s="153" t="e">
        <f>TTEST(E20:E29,E44:E53,2,2)</f>
        <v>#DIV/0!</v>
      </c>
      <c r="F60" s="153" t="e">
        <f t="shared" ref="F60:R60" si="20">TTEST(F20:F29,F44:F53,2,2)</f>
        <v>#DIV/0!</v>
      </c>
      <c r="G60" s="153" t="e">
        <f t="shared" si="20"/>
        <v>#DIV/0!</v>
      </c>
      <c r="H60" s="153" t="e">
        <f t="shared" si="20"/>
        <v>#DIV/0!</v>
      </c>
      <c r="I60" s="153" t="e">
        <f t="shared" si="20"/>
        <v>#DIV/0!</v>
      </c>
      <c r="J60" s="153" t="e">
        <f t="shared" si="20"/>
        <v>#DIV/0!</v>
      </c>
      <c r="K60" s="153" t="e">
        <f t="shared" si="20"/>
        <v>#DIV/0!</v>
      </c>
      <c r="L60" s="153" t="e">
        <f t="shared" si="20"/>
        <v>#DIV/0!</v>
      </c>
      <c r="M60" s="153" t="e">
        <f t="shared" si="20"/>
        <v>#DIV/0!</v>
      </c>
      <c r="N60" s="153" t="e">
        <f t="shared" si="20"/>
        <v>#DIV/0!</v>
      </c>
      <c r="O60" s="153" t="e">
        <f t="shared" si="20"/>
        <v>#DIV/0!</v>
      </c>
      <c r="P60" s="153" t="e">
        <f t="shared" si="20"/>
        <v>#DIV/0!</v>
      </c>
      <c r="Q60" s="153" t="e">
        <f t="shared" si="20"/>
        <v>#DIV/0!</v>
      </c>
      <c r="R60" s="153" t="e">
        <f t="shared" si="20"/>
        <v>#DIV/0!</v>
      </c>
      <c r="S60" s="17"/>
      <c r="T60" s="17"/>
      <c r="U60" s="17"/>
      <c r="V60" s="17"/>
      <c r="W60" s="19"/>
    </row>
    <row r="61" spans="1:23" ht="14.25" customHeight="1" x14ac:dyDescent="0.15">
      <c r="A61" s="171"/>
      <c r="B61" s="152"/>
      <c r="C61" s="152"/>
      <c r="D61" s="152" t="s">
        <v>67</v>
      </c>
      <c r="E61" s="153" t="e">
        <f>TTEST(E32:E41,E44:E53,2,2)</f>
        <v>#DIV/0!</v>
      </c>
      <c r="F61" s="153" t="e">
        <f t="shared" ref="F61:R61" si="21">TTEST(F32:F41,F44:F53,2,2)</f>
        <v>#DIV/0!</v>
      </c>
      <c r="G61" s="153" t="e">
        <f t="shared" si="21"/>
        <v>#DIV/0!</v>
      </c>
      <c r="H61" s="153" t="e">
        <f t="shared" si="21"/>
        <v>#DIV/0!</v>
      </c>
      <c r="I61" s="153" t="e">
        <f t="shared" si="21"/>
        <v>#DIV/0!</v>
      </c>
      <c r="J61" s="153" t="e">
        <f t="shared" si="21"/>
        <v>#DIV/0!</v>
      </c>
      <c r="K61" s="153" t="e">
        <f t="shared" si="21"/>
        <v>#DIV/0!</v>
      </c>
      <c r="L61" s="153" t="e">
        <f t="shared" si="21"/>
        <v>#DIV/0!</v>
      </c>
      <c r="M61" s="153" t="e">
        <f t="shared" si="21"/>
        <v>#DIV/0!</v>
      </c>
      <c r="N61" s="153" t="e">
        <f t="shared" si="21"/>
        <v>#DIV/0!</v>
      </c>
      <c r="O61" s="153" t="e">
        <f t="shared" si="21"/>
        <v>#DIV/0!</v>
      </c>
      <c r="P61" s="153" t="e">
        <f t="shared" si="21"/>
        <v>#DIV/0!</v>
      </c>
      <c r="Q61" s="153" t="e">
        <f t="shared" si="21"/>
        <v>#DIV/0!</v>
      </c>
      <c r="R61" s="153" t="e">
        <f t="shared" si="21"/>
        <v>#DIV/0!</v>
      </c>
      <c r="S61" s="17"/>
      <c r="T61" s="17"/>
      <c r="U61" s="17"/>
      <c r="V61" s="17"/>
      <c r="W61" s="19"/>
    </row>
    <row r="62" spans="1:23" ht="14.25" customHeight="1" x14ac:dyDescent="0.15">
      <c r="A62" s="57"/>
      <c r="B62" s="58"/>
      <c r="C62" s="59"/>
      <c r="D62" s="59"/>
      <c r="E62" s="60"/>
      <c r="F62" s="60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44"/>
      <c r="T62" s="44"/>
      <c r="U62" s="44"/>
      <c r="V62" s="44"/>
      <c r="W62" s="45"/>
    </row>
  </sheetData>
  <sheetProtection algorithmName="SHA-512" hashValue="gj7M0cR70HJpSj86MKkN0WD6Nqd/bs/dhAc1/EgJNefk4dnBviDO3dImvuzMOhfKv5j1bW/KowhpxfvDbaR3SQ==" saltValue="58YXtopX0IbedeGi4iEndQ==" spinCount="100000" sheet="1" objects="1" scenarios="1"/>
  <mergeCells count="11">
    <mergeCell ref="A9:A10"/>
    <mergeCell ref="A21:A22"/>
    <mergeCell ref="A33:A34"/>
    <mergeCell ref="A45:A46"/>
    <mergeCell ref="G5:H5"/>
    <mergeCell ref="E5:F5"/>
    <mergeCell ref="Q5:R5"/>
    <mergeCell ref="O5:P5"/>
    <mergeCell ref="M5:N5"/>
    <mergeCell ref="K5:L5"/>
    <mergeCell ref="I5:J5"/>
  </mergeCells>
  <conditionalFormatting sqref="E56:R61">
    <cfRule type="cellIs" dxfId="2" priority="1" operator="lessThan">
      <formula>0.05</formula>
    </cfRule>
    <cfRule type="cellIs" dxfId="1" priority="2" operator="lessThan">
      <formula>0.05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"/>
  <sheetViews>
    <sheetView zoomScaleNormal="100" workbookViewId="0"/>
  </sheetViews>
  <sheetFormatPr baseColWidth="10" defaultColWidth="9" defaultRowHeight="14" x14ac:dyDescent="0.15"/>
  <cols>
    <col min="1" max="16384" width="9" style="2"/>
  </cols>
  <sheetData>
    <row r="1" spans="1:23" ht="14.25" customHeight="1" x14ac:dyDescent="0.1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/>
    </row>
    <row r="2" spans="1:23" ht="14.25" customHeight="1" x14ac:dyDescent="0.15">
      <c r="A2" s="72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9"/>
    </row>
    <row r="3" spans="1:23" ht="14.25" customHeight="1" x14ac:dyDescent="0.15">
      <c r="A3" s="72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9"/>
    </row>
    <row r="4" spans="1:23" ht="14.25" customHeight="1" x14ac:dyDescent="0.2">
      <c r="A4" s="14"/>
      <c r="B4" s="15"/>
      <c r="C4" s="15"/>
      <c r="D4" s="16"/>
      <c r="E4" s="62"/>
      <c r="F4" s="17"/>
      <c r="G4" s="18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9"/>
    </row>
    <row r="5" spans="1:23" ht="14.25" customHeight="1" x14ac:dyDescent="0.15">
      <c r="A5" s="20"/>
      <c r="B5" s="21"/>
      <c r="C5" s="21"/>
      <c r="D5" s="22"/>
      <c r="E5" s="213" t="s">
        <v>32</v>
      </c>
      <c r="F5" s="214"/>
      <c r="G5" s="213" t="s">
        <v>33</v>
      </c>
      <c r="H5" s="214"/>
      <c r="I5" s="213" t="s">
        <v>34</v>
      </c>
      <c r="J5" s="214"/>
      <c r="K5" s="213" t="s">
        <v>35</v>
      </c>
      <c r="L5" s="214"/>
      <c r="M5" s="213" t="s">
        <v>36</v>
      </c>
      <c r="N5" s="214"/>
      <c r="O5" s="213" t="s">
        <v>37</v>
      </c>
      <c r="P5" s="214"/>
      <c r="Q5" s="213" t="s">
        <v>38</v>
      </c>
      <c r="R5" s="214"/>
      <c r="S5" s="17"/>
      <c r="T5" s="17"/>
      <c r="U5" s="17"/>
      <c r="V5" s="17"/>
      <c r="W5" s="19"/>
    </row>
    <row r="6" spans="1:23" ht="14.25" customHeight="1" x14ac:dyDescent="0.15">
      <c r="A6" s="23"/>
      <c r="B6" s="24"/>
      <c r="C6" s="24"/>
      <c r="D6" s="25"/>
      <c r="E6" s="26" t="s">
        <v>52</v>
      </c>
      <c r="F6" s="27" t="s">
        <v>53</v>
      </c>
      <c r="G6" s="26" t="s">
        <v>52</v>
      </c>
      <c r="H6" s="27" t="s">
        <v>53</v>
      </c>
      <c r="I6" s="26" t="s">
        <v>52</v>
      </c>
      <c r="J6" s="27" t="s">
        <v>53</v>
      </c>
      <c r="K6" s="26" t="s">
        <v>52</v>
      </c>
      <c r="L6" s="27" t="s">
        <v>53</v>
      </c>
      <c r="M6" s="26" t="s">
        <v>52</v>
      </c>
      <c r="N6" s="27" t="s">
        <v>53</v>
      </c>
      <c r="O6" s="26" t="s">
        <v>52</v>
      </c>
      <c r="P6" s="27" t="s">
        <v>53</v>
      </c>
      <c r="Q6" s="26" t="s">
        <v>52</v>
      </c>
      <c r="R6" s="28" t="s">
        <v>53</v>
      </c>
      <c r="S6" s="17"/>
      <c r="T6" s="17"/>
      <c r="U6" s="17"/>
      <c r="V6" s="17"/>
      <c r="W6" s="19"/>
    </row>
    <row r="7" spans="1:23" ht="14.25" customHeight="1" x14ac:dyDescent="0.15">
      <c r="A7" s="29"/>
      <c r="B7" s="30" t="s">
        <v>41</v>
      </c>
      <c r="C7" s="30" t="s">
        <v>42</v>
      </c>
      <c r="D7" s="31" t="s">
        <v>43</v>
      </c>
      <c r="E7" s="32" t="s">
        <v>54</v>
      </c>
      <c r="F7" s="33" t="s">
        <v>55</v>
      </c>
      <c r="G7" s="32" t="s">
        <v>54</v>
      </c>
      <c r="H7" s="33" t="s">
        <v>55</v>
      </c>
      <c r="I7" s="32" t="s">
        <v>54</v>
      </c>
      <c r="J7" s="33" t="s">
        <v>55</v>
      </c>
      <c r="K7" s="32" t="s">
        <v>54</v>
      </c>
      <c r="L7" s="33" t="s">
        <v>55</v>
      </c>
      <c r="M7" s="32" t="s">
        <v>54</v>
      </c>
      <c r="N7" s="33" t="s">
        <v>55</v>
      </c>
      <c r="O7" s="32" t="s">
        <v>54</v>
      </c>
      <c r="P7" s="33" t="s">
        <v>55</v>
      </c>
      <c r="Q7" s="32" t="s">
        <v>54</v>
      </c>
      <c r="R7" s="32" t="s">
        <v>55</v>
      </c>
      <c r="S7" s="17"/>
      <c r="T7" s="17"/>
      <c r="U7" s="17"/>
      <c r="V7" s="17"/>
      <c r="W7" s="19"/>
    </row>
    <row r="8" spans="1:23" ht="14.25" customHeight="1" x14ac:dyDescent="0.15">
      <c r="A8" s="34" t="s">
        <v>46</v>
      </c>
      <c r="B8" s="73">
        <v>1</v>
      </c>
      <c r="C8" s="74" t="s">
        <v>85</v>
      </c>
      <c r="D8" s="181">
        <v>401</v>
      </c>
      <c r="E8" s="75">
        <v>1512.61</v>
      </c>
      <c r="F8" s="174">
        <v>45378.8</v>
      </c>
      <c r="G8" s="77">
        <v>1148.1199999999999</v>
      </c>
      <c r="H8" s="174">
        <v>34444</v>
      </c>
      <c r="I8" s="77">
        <v>904.16800000000001</v>
      </c>
      <c r="J8" s="174">
        <v>27125.3</v>
      </c>
      <c r="K8" s="77">
        <v>934.27099999999996</v>
      </c>
      <c r="L8" s="174">
        <v>28028.400000000001</v>
      </c>
      <c r="M8" s="77">
        <v>694.63900000000001</v>
      </c>
      <c r="N8" s="174">
        <v>20839.400000000001</v>
      </c>
      <c r="O8" s="77">
        <v>1003.3</v>
      </c>
      <c r="P8" s="174">
        <v>30099.4</v>
      </c>
      <c r="Q8" s="77">
        <f>SUM(E8,G8,I8,K8,M8,O8)</f>
        <v>6197.1080000000002</v>
      </c>
      <c r="R8" s="174">
        <f>AVERAGE(F8,H8,J8,L8,N8,P8)</f>
        <v>30985.883333333331</v>
      </c>
      <c r="S8" s="17"/>
      <c r="T8" s="17"/>
      <c r="U8" s="17"/>
      <c r="V8" s="17"/>
      <c r="W8" s="19"/>
    </row>
    <row r="9" spans="1:23" ht="14.25" customHeight="1" x14ac:dyDescent="0.15">
      <c r="A9" s="206" t="s">
        <v>84</v>
      </c>
      <c r="B9" s="79">
        <v>2</v>
      </c>
      <c r="C9" s="74" t="s">
        <v>85</v>
      </c>
      <c r="D9" s="181">
        <v>402</v>
      </c>
      <c r="E9" s="80">
        <v>983.03599999999994</v>
      </c>
      <c r="F9" s="86">
        <v>29491.4</v>
      </c>
      <c r="G9" s="82">
        <v>849.41800000000001</v>
      </c>
      <c r="H9" s="86">
        <v>25482.799999999999</v>
      </c>
      <c r="I9" s="82">
        <v>715.62900000000002</v>
      </c>
      <c r="J9" s="86">
        <v>21469.1</v>
      </c>
      <c r="K9" s="82">
        <v>713.46100000000001</v>
      </c>
      <c r="L9" s="86">
        <v>21404.1</v>
      </c>
      <c r="M9" s="82">
        <v>528.63400000000001</v>
      </c>
      <c r="N9" s="86">
        <v>15859.2</v>
      </c>
      <c r="O9" s="82">
        <v>671.90800000000002</v>
      </c>
      <c r="P9" s="86">
        <v>20157.400000000001</v>
      </c>
      <c r="Q9" s="82">
        <f>SUM(E9,G9,I9,K9,M9,O9)</f>
        <v>4462.0860000000002</v>
      </c>
      <c r="R9" s="86">
        <f t="shared" ref="R9:R11" si="0">AVERAGE(F9,H9,J9,L9,N9,P9)</f>
        <v>22310.666666666668</v>
      </c>
      <c r="S9" s="17"/>
      <c r="T9" s="17"/>
      <c r="U9" s="17"/>
      <c r="V9" s="17"/>
      <c r="W9" s="19"/>
    </row>
    <row r="10" spans="1:23" ht="14.25" customHeight="1" x14ac:dyDescent="0.15">
      <c r="A10" s="206"/>
      <c r="B10" s="79">
        <v>3</v>
      </c>
      <c r="C10" s="74" t="s">
        <v>85</v>
      </c>
      <c r="D10" s="181">
        <v>403</v>
      </c>
      <c r="E10" s="80">
        <v>1289.3699999999999</v>
      </c>
      <c r="F10" s="86">
        <v>38681.599999999999</v>
      </c>
      <c r="G10" s="82">
        <v>909.09699999999998</v>
      </c>
      <c r="H10" s="86">
        <v>27273.200000000001</v>
      </c>
      <c r="I10" s="82">
        <v>742.32600000000002</v>
      </c>
      <c r="J10" s="86">
        <v>22270</v>
      </c>
      <c r="K10" s="82">
        <v>923.84400000000005</v>
      </c>
      <c r="L10" s="86">
        <v>27715.599999999999</v>
      </c>
      <c r="M10" s="82">
        <v>700.75300000000004</v>
      </c>
      <c r="N10" s="86">
        <v>21022.799999999999</v>
      </c>
      <c r="O10" s="82">
        <v>766.41399999999999</v>
      </c>
      <c r="P10" s="86">
        <v>22992.7</v>
      </c>
      <c r="Q10" s="82">
        <f>SUM(E10,G10,I10,K10,M10,O10)</f>
        <v>5331.8039999999992</v>
      </c>
      <c r="R10" s="86">
        <f t="shared" si="0"/>
        <v>26659.316666666666</v>
      </c>
      <c r="S10" s="17"/>
      <c r="T10" s="17"/>
      <c r="U10" s="17"/>
      <c r="V10" s="17"/>
      <c r="W10" s="19"/>
    </row>
    <row r="11" spans="1:23" ht="14.25" customHeight="1" x14ac:dyDescent="0.15">
      <c r="A11" s="35"/>
      <c r="B11" s="79">
        <v>4</v>
      </c>
      <c r="C11" s="74" t="s">
        <v>85</v>
      </c>
      <c r="D11" s="181">
        <v>404</v>
      </c>
      <c r="E11" s="80">
        <v>1354.36</v>
      </c>
      <c r="F11" s="86">
        <v>40631.199999999997</v>
      </c>
      <c r="G11" s="80">
        <v>998.49699999999996</v>
      </c>
      <c r="H11" s="86">
        <v>29955.200000000001</v>
      </c>
      <c r="I11" s="82">
        <v>890.21</v>
      </c>
      <c r="J11" s="82">
        <v>26706.6</v>
      </c>
      <c r="K11" s="80">
        <v>792.06399999999996</v>
      </c>
      <c r="L11" s="86">
        <v>23762.1</v>
      </c>
      <c r="M11" s="82">
        <v>646.71799999999996</v>
      </c>
      <c r="N11" s="82">
        <v>19401.7</v>
      </c>
      <c r="O11" s="80">
        <v>832.68299999999999</v>
      </c>
      <c r="P11" s="82">
        <v>24980.7</v>
      </c>
      <c r="Q11" s="80">
        <f>SUM(E11,G11,I11,K11,M11,O11)</f>
        <v>5514.5320000000002</v>
      </c>
      <c r="R11" s="86">
        <f t="shared" si="0"/>
        <v>27572.916666666672</v>
      </c>
      <c r="S11" s="17"/>
      <c r="T11" s="17"/>
      <c r="U11" s="17"/>
      <c r="V11" s="17"/>
      <c r="W11" s="19"/>
    </row>
    <row r="12" spans="1:23" ht="14.25" customHeight="1" x14ac:dyDescent="0.15">
      <c r="A12" s="35"/>
      <c r="B12" s="79">
        <v>5</v>
      </c>
      <c r="C12" s="74" t="s">
        <v>85</v>
      </c>
      <c r="D12" s="181">
        <v>444</v>
      </c>
      <c r="E12" s="80">
        <v>1593.52</v>
      </c>
      <c r="F12" s="86">
        <v>47806</v>
      </c>
      <c r="G12" s="80">
        <v>1319.99</v>
      </c>
      <c r="H12" s="86">
        <v>39600.1</v>
      </c>
      <c r="I12" s="82">
        <v>1213.2</v>
      </c>
      <c r="J12" s="82">
        <v>36396.400000000001</v>
      </c>
      <c r="K12" s="80">
        <v>1205.18</v>
      </c>
      <c r="L12" s="86">
        <v>36155.599999999999</v>
      </c>
      <c r="M12" s="82">
        <v>1264.1500000000001</v>
      </c>
      <c r="N12" s="82">
        <v>37924.800000000003</v>
      </c>
      <c r="O12" s="80">
        <v>1052.71</v>
      </c>
      <c r="P12" s="82">
        <v>31581.7</v>
      </c>
      <c r="Q12" s="82">
        <f t="shared" ref="Q12:Q15" si="1">SUM(E12,G12,I12,K12,M12,O12)</f>
        <v>7648.7500000000009</v>
      </c>
      <c r="R12" s="86">
        <f t="shared" ref="R12:R15" si="2">AVERAGE(F12,H12,J12,L12,N12,P12)</f>
        <v>38244.100000000006</v>
      </c>
      <c r="S12" s="17"/>
      <c r="T12" s="17"/>
      <c r="U12" s="17"/>
      <c r="V12" s="17"/>
      <c r="W12" s="19"/>
    </row>
    <row r="13" spans="1:23" ht="14.25" customHeight="1" x14ac:dyDescent="0.15">
      <c r="A13" s="35"/>
      <c r="B13" s="79">
        <v>6</v>
      </c>
      <c r="C13" s="74" t="s">
        <v>85</v>
      </c>
      <c r="D13" s="181">
        <v>446</v>
      </c>
      <c r="E13" s="80">
        <v>1612.73</v>
      </c>
      <c r="F13" s="86">
        <v>48382.3</v>
      </c>
      <c r="G13" s="80">
        <v>1199.1400000000001</v>
      </c>
      <c r="H13" s="86">
        <v>35974.5</v>
      </c>
      <c r="I13" s="82">
        <v>1093.5899999999999</v>
      </c>
      <c r="J13" s="82">
        <v>32808</v>
      </c>
      <c r="K13" s="80">
        <v>1269.06</v>
      </c>
      <c r="L13" s="86">
        <v>38072.300000000003</v>
      </c>
      <c r="M13" s="82">
        <v>522.423</v>
      </c>
      <c r="N13" s="82">
        <v>15672.8</v>
      </c>
      <c r="O13" s="80">
        <v>1033.8800000000001</v>
      </c>
      <c r="P13" s="82">
        <v>31016.799999999999</v>
      </c>
      <c r="Q13" s="80">
        <f t="shared" si="1"/>
        <v>6730.8230000000003</v>
      </c>
      <c r="R13" s="86">
        <f t="shared" si="2"/>
        <v>33654.449999999997</v>
      </c>
      <c r="S13" s="17"/>
      <c r="T13" s="17"/>
      <c r="U13" s="17"/>
      <c r="V13" s="17"/>
      <c r="W13" s="19"/>
    </row>
    <row r="14" spans="1:23" ht="14.25" customHeight="1" x14ac:dyDescent="0.15">
      <c r="A14" s="35"/>
      <c r="B14" s="79">
        <v>7</v>
      </c>
      <c r="C14" s="74" t="s">
        <v>85</v>
      </c>
      <c r="D14" s="191">
        <v>447</v>
      </c>
      <c r="E14" s="80">
        <v>1273.3599999999999</v>
      </c>
      <c r="F14" s="86">
        <v>38201.300000000003</v>
      </c>
      <c r="G14" s="80">
        <v>975.93100000000004</v>
      </c>
      <c r="H14" s="86">
        <v>29278.2</v>
      </c>
      <c r="I14" s="82">
        <v>967.875</v>
      </c>
      <c r="J14" s="82">
        <v>29036.5</v>
      </c>
      <c r="K14" s="80">
        <v>861.06600000000003</v>
      </c>
      <c r="L14" s="86">
        <v>25832.2</v>
      </c>
      <c r="M14" s="82">
        <v>846.97</v>
      </c>
      <c r="N14" s="82">
        <v>25409.4</v>
      </c>
      <c r="O14" s="80">
        <v>725.94299999999998</v>
      </c>
      <c r="P14" s="82">
        <v>21778.5</v>
      </c>
      <c r="Q14" s="82">
        <f t="shared" si="1"/>
        <v>5651.1450000000004</v>
      </c>
      <c r="R14" s="86">
        <f t="shared" si="2"/>
        <v>28256.016666666666</v>
      </c>
      <c r="S14" s="17"/>
      <c r="T14" s="17"/>
      <c r="U14" s="17"/>
      <c r="V14" s="17"/>
      <c r="W14" s="19"/>
    </row>
    <row r="15" spans="1:23" ht="14.25" customHeight="1" x14ac:dyDescent="0.15">
      <c r="A15" s="35"/>
      <c r="B15" s="79">
        <v>8</v>
      </c>
      <c r="C15" s="74" t="s">
        <v>85</v>
      </c>
      <c r="D15" s="191">
        <v>452</v>
      </c>
      <c r="E15" s="80">
        <v>1514.01</v>
      </c>
      <c r="F15" s="86">
        <v>45420.9</v>
      </c>
      <c r="G15" s="80">
        <v>1246.23</v>
      </c>
      <c r="H15" s="86">
        <v>37387.199999999997</v>
      </c>
      <c r="I15" s="82">
        <v>1009.31</v>
      </c>
      <c r="J15" s="82">
        <v>30279.599999999999</v>
      </c>
      <c r="K15" s="80">
        <v>1348.02</v>
      </c>
      <c r="L15" s="86">
        <v>40440.9</v>
      </c>
      <c r="M15" s="82">
        <v>1101.95</v>
      </c>
      <c r="N15" s="82">
        <v>33058.800000000003</v>
      </c>
      <c r="O15" s="80">
        <v>1241.75</v>
      </c>
      <c r="P15" s="82">
        <v>37252.699999999997</v>
      </c>
      <c r="Q15" s="80">
        <f t="shared" si="1"/>
        <v>7461.2699999999995</v>
      </c>
      <c r="R15" s="86">
        <f t="shared" si="2"/>
        <v>37306.683333333342</v>
      </c>
      <c r="S15" s="17"/>
      <c r="T15" s="17"/>
      <c r="U15" s="17"/>
      <c r="V15" s="17"/>
      <c r="W15" s="19"/>
    </row>
    <row r="16" spans="1:23" ht="14.25" customHeight="1" x14ac:dyDescent="0.15">
      <c r="A16" s="35"/>
      <c r="B16" s="79">
        <v>9</v>
      </c>
      <c r="C16" s="84"/>
      <c r="D16" s="85"/>
      <c r="E16" s="80"/>
      <c r="F16" s="86"/>
      <c r="G16" s="80"/>
      <c r="H16" s="86"/>
      <c r="I16" s="82"/>
      <c r="J16" s="82"/>
      <c r="K16" s="80"/>
      <c r="L16" s="86"/>
      <c r="M16" s="82"/>
      <c r="N16" s="82"/>
      <c r="O16" s="80"/>
      <c r="P16" s="82"/>
      <c r="Q16" s="80"/>
      <c r="R16" s="86"/>
      <c r="S16" s="17"/>
      <c r="T16" s="17"/>
      <c r="U16" s="17"/>
      <c r="V16" s="17"/>
      <c r="W16" s="19"/>
    </row>
    <row r="17" spans="1:23" ht="14.25" customHeight="1" x14ac:dyDescent="0.15">
      <c r="A17" s="35"/>
      <c r="B17" s="192">
        <v>10</v>
      </c>
      <c r="C17" s="193"/>
      <c r="D17" s="194"/>
      <c r="E17" s="80"/>
      <c r="F17" s="86"/>
      <c r="G17" s="89"/>
      <c r="H17" s="90"/>
      <c r="I17" s="82"/>
      <c r="J17" s="82"/>
      <c r="K17" s="89"/>
      <c r="L17" s="90"/>
      <c r="M17" s="82"/>
      <c r="N17" s="82"/>
      <c r="O17" s="89"/>
      <c r="P17" s="175"/>
      <c r="Q17" s="89"/>
      <c r="R17" s="90"/>
      <c r="S17" s="17"/>
      <c r="T17" s="17"/>
      <c r="U17" s="17"/>
      <c r="V17" s="17"/>
      <c r="W17" s="19"/>
    </row>
    <row r="18" spans="1:23" ht="14.25" customHeight="1" x14ac:dyDescent="0.15">
      <c r="A18" s="93"/>
      <c r="B18" s="94"/>
      <c r="C18" s="94"/>
      <c r="D18" s="73" t="s">
        <v>47</v>
      </c>
      <c r="E18" s="95">
        <f t="shared" ref="E18:P18" si="3">AVERAGE(E8:E17)</f>
        <v>1391.6244999999999</v>
      </c>
      <c r="F18" s="96">
        <f t="shared" si="3"/>
        <v>41749.1875</v>
      </c>
      <c r="G18" s="95">
        <f t="shared" si="3"/>
        <v>1080.8028750000001</v>
      </c>
      <c r="H18" s="96">
        <f t="shared" si="3"/>
        <v>32424.400000000001</v>
      </c>
      <c r="I18" s="95">
        <f t="shared" si="3"/>
        <v>942.03850000000011</v>
      </c>
      <c r="J18" s="96">
        <f t="shared" si="3"/>
        <v>28261.4375</v>
      </c>
      <c r="K18" s="95">
        <f t="shared" si="3"/>
        <v>1005.8707499999998</v>
      </c>
      <c r="L18" s="96">
        <f t="shared" si="3"/>
        <v>30176.400000000005</v>
      </c>
      <c r="M18" s="95">
        <f t="shared" si="3"/>
        <v>788.27962500000001</v>
      </c>
      <c r="N18" s="96">
        <f t="shared" si="3"/>
        <v>23648.612500000003</v>
      </c>
      <c r="O18" s="95">
        <f t="shared" si="3"/>
        <v>916.07350000000008</v>
      </c>
      <c r="P18" s="96">
        <f t="shared" si="3"/>
        <v>27482.487499999996</v>
      </c>
      <c r="Q18" s="95">
        <f t="shared" ref="Q18:R18" si="4">AVERAGE(Q8:Q17)</f>
        <v>6124.6897500000005</v>
      </c>
      <c r="R18" s="96">
        <f t="shared" si="4"/>
        <v>30623.754166666673</v>
      </c>
      <c r="S18" s="17"/>
      <c r="T18" s="17"/>
      <c r="U18" s="17"/>
      <c r="V18" s="17"/>
      <c r="W18" s="19"/>
    </row>
    <row r="19" spans="1:23" ht="14.25" customHeight="1" x14ac:dyDescent="0.15">
      <c r="A19" s="93"/>
      <c r="B19" s="94"/>
      <c r="C19" s="94"/>
      <c r="D19" s="73" t="s">
        <v>48</v>
      </c>
      <c r="E19" s="101">
        <f t="shared" ref="E19:P19" si="5">STDEV(E8:E17)/SQRT(COUNT(E8:E17))</f>
        <v>74.646885029019927</v>
      </c>
      <c r="F19" s="102">
        <f t="shared" si="5"/>
        <v>2239.417844906312</v>
      </c>
      <c r="G19" s="101">
        <f t="shared" si="5"/>
        <v>60.342196802437883</v>
      </c>
      <c r="H19" s="102">
        <f t="shared" si="5"/>
        <v>1810.2793962535075</v>
      </c>
      <c r="I19" s="101">
        <f t="shared" si="5"/>
        <v>59.304918521629276</v>
      </c>
      <c r="J19" s="102">
        <f t="shared" si="5"/>
        <v>1779.1653706300337</v>
      </c>
      <c r="K19" s="101">
        <f t="shared" si="5"/>
        <v>83.462885625192527</v>
      </c>
      <c r="L19" s="102">
        <f t="shared" si="5"/>
        <v>2503.904221981566</v>
      </c>
      <c r="M19" s="101">
        <f t="shared" si="5"/>
        <v>94.760133656914732</v>
      </c>
      <c r="N19" s="102">
        <f t="shared" si="5"/>
        <v>2842.8258545753311</v>
      </c>
      <c r="O19" s="101">
        <f t="shared" si="5"/>
        <v>69.608585443894725</v>
      </c>
      <c r="P19" s="102">
        <f t="shared" si="5"/>
        <v>2088.2738260717329</v>
      </c>
      <c r="Q19" s="101">
        <f t="shared" ref="Q19:R19" si="6">STDEV(Q8:Q17)/SQRT(COUNT(Q8:Q17))</f>
        <v>388.93867681838987</v>
      </c>
      <c r="R19" s="102">
        <f t="shared" si="6"/>
        <v>1944.7063973597665</v>
      </c>
      <c r="S19" s="17"/>
      <c r="T19" s="17"/>
      <c r="U19" s="17"/>
      <c r="V19" s="17"/>
      <c r="W19" s="19"/>
    </row>
    <row r="20" spans="1:23" ht="14.25" customHeight="1" x14ac:dyDescent="0.15">
      <c r="A20" s="36" t="s">
        <v>49</v>
      </c>
      <c r="B20" s="37">
        <v>1</v>
      </c>
      <c r="C20" s="104" t="s">
        <v>85</v>
      </c>
      <c r="D20" s="182">
        <v>405</v>
      </c>
      <c r="E20" s="82"/>
      <c r="F20" s="86"/>
      <c r="G20" s="75"/>
      <c r="H20" s="174"/>
      <c r="I20" s="77"/>
      <c r="J20" s="77"/>
      <c r="K20" s="75"/>
      <c r="L20" s="174"/>
      <c r="M20" s="77"/>
      <c r="N20" s="77"/>
      <c r="O20" s="75"/>
      <c r="P20" s="174"/>
      <c r="Q20" s="75"/>
      <c r="R20" s="174"/>
      <c r="S20" s="17"/>
      <c r="T20" s="17"/>
      <c r="U20" s="17"/>
      <c r="V20" s="17"/>
      <c r="W20" s="19"/>
    </row>
    <row r="21" spans="1:23" ht="14.25" customHeight="1" x14ac:dyDescent="0.15">
      <c r="A21" s="207" t="s">
        <v>83</v>
      </c>
      <c r="B21" s="39">
        <v>2</v>
      </c>
      <c r="C21" s="107" t="s">
        <v>85</v>
      </c>
      <c r="D21" s="183">
        <v>406</v>
      </c>
      <c r="E21" s="82">
        <v>1378.87</v>
      </c>
      <c r="F21" s="86">
        <v>41366.400000000001</v>
      </c>
      <c r="G21" s="80">
        <v>732.327</v>
      </c>
      <c r="H21" s="86">
        <v>21970</v>
      </c>
      <c r="I21" s="82">
        <v>1101.82</v>
      </c>
      <c r="J21" s="82">
        <v>33054.800000000003</v>
      </c>
      <c r="K21" s="80">
        <v>546.45899999999995</v>
      </c>
      <c r="L21" s="86">
        <v>16393.900000000001</v>
      </c>
      <c r="M21" s="82">
        <v>926.78800000000001</v>
      </c>
      <c r="N21" s="82">
        <v>27803.9</v>
      </c>
      <c r="O21" s="80">
        <v>166.99799999999999</v>
      </c>
      <c r="P21" s="86">
        <v>5009.99</v>
      </c>
      <c r="Q21" s="80">
        <f t="shared" ref="Q21:Q22" si="7">SUM(E21,G21,I21,K21,M21,O21)</f>
        <v>4853.2619999999988</v>
      </c>
      <c r="R21" s="86">
        <f t="shared" ref="R21:R22" si="8">AVERAGE(F21,H21,J21,L21,N21,P21)</f>
        <v>24266.498333333333</v>
      </c>
      <c r="S21" s="17"/>
      <c r="T21" s="17"/>
      <c r="U21" s="17"/>
      <c r="V21" s="17"/>
      <c r="W21" s="19"/>
    </row>
    <row r="22" spans="1:23" ht="14.25" customHeight="1" x14ac:dyDescent="0.15">
      <c r="A22" s="207"/>
      <c r="B22" s="39">
        <v>3</v>
      </c>
      <c r="C22" s="107" t="s">
        <v>85</v>
      </c>
      <c r="D22" s="183">
        <v>407</v>
      </c>
      <c r="E22" s="82">
        <v>884.76599999999996</v>
      </c>
      <c r="F22" s="86">
        <v>26543.3</v>
      </c>
      <c r="G22" s="80">
        <v>520.60599999999999</v>
      </c>
      <c r="H22" s="86">
        <v>15618.3</v>
      </c>
      <c r="I22" s="82">
        <v>370.01900000000001</v>
      </c>
      <c r="J22" s="82">
        <v>11100.7</v>
      </c>
      <c r="K22" s="80">
        <v>367.82600000000002</v>
      </c>
      <c r="L22" s="86">
        <v>11034.9</v>
      </c>
      <c r="M22" s="82">
        <v>261.21499999999997</v>
      </c>
      <c r="N22" s="82">
        <v>7836.53</v>
      </c>
      <c r="O22" s="80">
        <v>236.10499999999999</v>
      </c>
      <c r="P22" s="86">
        <v>7083.23</v>
      </c>
      <c r="Q22" s="80">
        <f t="shared" si="7"/>
        <v>2640.5369999999998</v>
      </c>
      <c r="R22" s="86">
        <f t="shared" si="8"/>
        <v>13202.826666666668</v>
      </c>
      <c r="S22" s="17"/>
      <c r="T22" s="17"/>
      <c r="U22" s="17"/>
      <c r="V22" s="17"/>
      <c r="W22" s="19"/>
    </row>
    <row r="23" spans="1:23" ht="14.25" customHeight="1" x14ac:dyDescent="0.15">
      <c r="A23" s="38"/>
      <c r="B23" s="39">
        <v>4</v>
      </c>
      <c r="C23" s="107" t="s">
        <v>85</v>
      </c>
      <c r="D23" s="183">
        <v>408</v>
      </c>
      <c r="E23" s="109"/>
      <c r="F23" s="115"/>
      <c r="G23" s="111"/>
      <c r="H23" s="115"/>
      <c r="I23" s="109"/>
      <c r="J23" s="109"/>
      <c r="K23" s="111"/>
      <c r="L23" s="115"/>
      <c r="M23" s="109"/>
      <c r="N23" s="109"/>
      <c r="O23" s="111"/>
      <c r="P23" s="115"/>
      <c r="Q23" s="80"/>
      <c r="R23" s="86"/>
      <c r="S23" s="17"/>
      <c r="T23" s="17"/>
      <c r="U23" s="17"/>
      <c r="V23" s="17"/>
      <c r="W23" s="19"/>
    </row>
    <row r="24" spans="1:23" ht="14.25" customHeight="1" x14ac:dyDescent="0.15">
      <c r="A24" s="38"/>
      <c r="B24" s="39">
        <v>5</v>
      </c>
      <c r="C24" s="107" t="s">
        <v>85</v>
      </c>
      <c r="D24" s="183">
        <v>445</v>
      </c>
      <c r="E24" s="109">
        <v>1602.48</v>
      </c>
      <c r="F24" s="115">
        <v>48075</v>
      </c>
      <c r="G24" s="111">
        <v>1069.6300000000001</v>
      </c>
      <c r="H24" s="115">
        <v>32089.200000000001</v>
      </c>
      <c r="I24" s="109">
        <v>1218.97</v>
      </c>
      <c r="J24" s="109">
        <v>36569.5</v>
      </c>
      <c r="K24" s="111">
        <v>1201.6400000000001</v>
      </c>
      <c r="L24" s="115">
        <v>36049.599999999999</v>
      </c>
      <c r="M24" s="109">
        <v>1152.8599999999999</v>
      </c>
      <c r="N24" s="109">
        <v>34586.300000000003</v>
      </c>
      <c r="O24" s="111">
        <v>711.04100000000005</v>
      </c>
      <c r="P24" s="115">
        <v>21331.4</v>
      </c>
      <c r="Q24" s="80">
        <f t="shared" ref="Q24:Q25" si="9">SUM(E24,G24,I24,K24,M24,O24)</f>
        <v>6956.6210000000001</v>
      </c>
      <c r="R24" s="86">
        <f t="shared" ref="R24:R25" si="10">AVERAGE(F24,H24,J24,L24,N24,P24)</f>
        <v>34783.499999999993</v>
      </c>
      <c r="S24" s="17"/>
      <c r="T24" s="17"/>
      <c r="U24" s="17"/>
      <c r="V24" s="17"/>
      <c r="W24" s="19"/>
    </row>
    <row r="25" spans="1:23" ht="14.25" customHeight="1" x14ac:dyDescent="0.15">
      <c r="A25" s="38"/>
      <c r="B25" s="39">
        <v>6</v>
      </c>
      <c r="C25" s="107" t="s">
        <v>85</v>
      </c>
      <c r="D25" s="183">
        <v>448</v>
      </c>
      <c r="E25" s="109">
        <v>1369.41</v>
      </c>
      <c r="F25" s="115">
        <v>41082.6</v>
      </c>
      <c r="G25" s="111">
        <v>635.38699999999994</v>
      </c>
      <c r="H25" s="115">
        <v>19061.8</v>
      </c>
      <c r="I25" s="109">
        <v>577.83100000000002</v>
      </c>
      <c r="J25" s="109">
        <v>17335.099999999999</v>
      </c>
      <c r="K25" s="111">
        <v>715.60500000000002</v>
      </c>
      <c r="L25" s="115">
        <v>21468.3</v>
      </c>
      <c r="M25" s="109">
        <v>617.23099999999999</v>
      </c>
      <c r="N25" s="109">
        <v>18517.099999999999</v>
      </c>
      <c r="O25" s="111">
        <v>704.17</v>
      </c>
      <c r="P25" s="115">
        <v>21125.3</v>
      </c>
      <c r="Q25" s="80">
        <f t="shared" si="9"/>
        <v>4619.634</v>
      </c>
      <c r="R25" s="86">
        <f t="shared" si="10"/>
        <v>23098.366666666665</v>
      </c>
      <c r="S25" s="17"/>
      <c r="T25" s="17"/>
      <c r="U25" s="17"/>
      <c r="V25" s="17"/>
      <c r="W25" s="19"/>
    </row>
    <row r="26" spans="1:23" ht="14.25" customHeight="1" x14ac:dyDescent="0.15">
      <c r="A26" s="38"/>
      <c r="B26" s="39">
        <v>7</v>
      </c>
      <c r="C26" s="107" t="s">
        <v>85</v>
      </c>
      <c r="D26" s="190">
        <v>449</v>
      </c>
      <c r="E26" s="111">
        <v>880.10299999999995</v>
      </c>
      <c r="F26" s="115">
        <v>26403.4</v>
      </c>
      <c r="G26" s="111">
        <v>896.64</v>
      </c>
      <c r="H26" s="115">
        <v>26899.5</v>
      </c>
      <c r="I26" s="109">
        <v>765.7</v>
      </c>
      <c r="J26" s="109">
        <v>22971.200000000001</v>
      </c>
      <c r="K26" s="111">
        <v>841.98</v>
      </c>
      <c r="L26" s="115">
        <v>25259.599999999999</v>
      </c>
      <c r="M26" s="109">
        <v>1061.05</v>
      </c>
      <c r="N26" s="109">
        <v>31831.9</v>
      </c>
      <c r="O26" s="111">
        <v>777.62699999999995</v>
      </c>
      <c r="P26" s="115">
        <v>23329</v>
      </c>
      <c r="Q26" s="80">
        <f t="shared" ref="Q26:Q27" si="11">SUM(E26,G26,I26,K26,M26,O26)</f>
        <v>5223.1000000000004</v>
      </c>
      <c r="R26" s="86">
        <f t="shared" ref="R26:R27" si="12">AVERAGE(F26,H26,J26,L26,N26,P26)</f>
        <v>26115.766666666666</v>
      </c>
      <c r="S26" s="17"/>
      <c r="T26" s="17"/>
      <c r="U26" s="17"/>
      <c r="V26" s="17"/>
      <c r="W26" s="19"/>
    </row>
    <row r="27" spans="1:23" ht="14.25" customHeight="1" x14ac:dyDescent="0.15">
      <c r="A27" s="38"/>
      <c r="B27" s="39">
        <v>8</v>
      </c>
      <c r="C27" s="107" t="s">
        <v>85</v>
      </c>
      <c r="D27" s="190">
        <v>451</v>
      </c>
      <c r="E27" s="111">
        <v>1365.83</v>
      </c>
      <c r="F27" s="115">
        <v>40975.199999999997</v>
      </c>
      <c r="G27" s="111">
        <v>829.08900000000006</v>
      </c>
      <c r="H27" s="115">
        <v>24872.9</v>
      </c>
      <c r="I27" s="109">
        <v>620.23299999999995</v>
      </c>
      <c r="J27" s="109">
        <v>18607.2</v>
      </c>
      <c r="K27" s="111">
        <v>999.34699999999998</v>
      </c>
      <c r="L27" s="115">
        <v>29980.7</v>
      </c>
      <c r="M27" s="109">
        <v>646.48400000000004</v>
      </c>
      <c r="N27" s="109">
        <v>19394.7</v>
      </c>
      <c r="O27" s="111">
        <v>644.34699999999998</v>
      </c>
      <c r="P27" s="115">
        <v>19330.599999999999</v>
      </c>
      <c r="Q27" s="80">
        <f t="shared" si="11"/>
        <v>5105.33</v>
      </c>
      <c r="R27" s="86">
        <f t="shared" si="12"/>
        <v>25526.883333333335</v>
      </c>
      <c r="S27" s="17"/>
      <c r="T27" s="17"/>
      <c r="U27" s="17"/>
      <c r="V27" s="17"/>
      <c r="W27" s="19"/>
    </row>
    <row r="28" spans="1:23" ht="14.25" customHeight="1" x14ac:dyDescent="0.15">
      <c r="A28" s="38"/>
      <c r="B28" s="39">
        <v>9</v>
      </c>
      <c r="C28" s="114"/>
      <c r="D28" s="113"/>
      <c r="E28" s="111"/>
      <c r="F28" s="115"/>
      <c r="G28" s="111"/>
      <c r="H28" s="115"/>
      <c r="I28" s="109"/>
      <c r="J28" s="109"/>
      <c r="K28" s="111"/>
      <c r="L28" s="115"/>
      <c r="M28" s="109"/>
      <c r="N28" s="109"/>
      <c r="O28" s="111"/>
      <c r="P28" s="115"/>
      <c r="Q28" s="80"/>
      <c r="R28" s="86"/>
      <c r="S28" s="17"/>
      <c r="T28" s="17"/>
      <c r="U28" s="17"/>
      <c r="V28" s="17"/>
      <c r="W28" s="19"/>
    </row>
    <row r="29" spans="1:23" ht="14.25" customHeight="1" x14ac:dyDescent="0.15">
      <c r="A29" s="38"/>
      <c r="B29" s="195">
        <v>10</v>
      </c>
      <c r="C29" s="196"/>
      <c r="D29" s="197"/>
      <c r="E29" s="116"/>
      <c r="F29" s="117"/>
      <c r="G29" s="111"/>
      <c r="H29" s="115"/>
      <c r="I29" s="109"/>
      <c r="J29" s="109"/>
      <c r="K29" s="111"/>
      <c r="L29" s="115"/>
      <c r="M29" s="109"/>
      <c r="N29" s="109"/>
      <c r="O29" s="111"/>
      <c r="P29" s="115"/>
      <c r="Q29" s="89"/>
      <c r="R29" s="90"/>
      <c r="S29" s="17"/>
      <c r="T29" s="17"/>
      <c r="U29" s="17"/>
      <c r="V29" s="17"/>
      <c r="W29" s="19"/>
    </row>
    <row r="30" spans="1:23" ht="14.25" customHeight="1" x14ac:dyDescent="0.15">
      <c r="A30" s="118"/>
      <c r="B30" s="119"/>
      <c r="C30" s="119"/>
      <c r="D30" s="120" t="s">
        <v>47</v>
      </c>
      <c r="E30" s="95">
        <f t="shared" ref="E30:R30" si="13">AVERAGE(E20:E29)</f>
        <v>1246.9098333333334</v>
      </c>
      <c r="F30" s="96">
        <f t="shared" si="13"/>
        <v>37407.649999999994</v>
      </c>
      <c r="G30" s="95">
        <f t="shared" si="13"/>
        <v>780.61316666666664</v>
      </c>
      <c r="H30" s="96">
        <f t="shared" si="13"/>
        <v>23418.616666666669</v>
      </c>
      <c r="I30" s="95">
        <f t="shared" si="13"/>
        <v>775.76216666666676</v>
      </c>
      <c r="J30" s="96">
        <f t="shared" si="13"/>
        <v>23273.083333333332</v>
      </c>
      <c r="K30" s="95">
        <f t="shared" si="13"/>
        <v>778.80949999999996</v>
      </c>
      <c r="L30" s="96">
        <f t="shared" si="13"/>
        <v>23364.5</v>
      </c>
      <c r="M30" s="95">
        <f t="shared" si="13"/>
        <v>777.60466666666673</v>
      </c>
      <c r="N30" s="96">
        <f t="shared" si="13"/>
        <v>23328.405000000002</v>
      </c>
      <c r="O30" s="95">
        <f t="shared" si="13"/>
        <v>540.04799999999989</v>
      </c>
      <c r="P30" s="96">
        <f t="shared" si="13"/>
        <v>16201.586666666664</v>
      </c>
      <c r="Q30" s="95">
        <f t="shared" si="13"/>
        <v>4899.7473333333328</v>
      </c>
      <c r="R30" s="96">
        <f t="shared" si="13"/>
        <v>24498.973611111109</v>
      </c>
      <c r="S30" s="17"/>
      <c r="T30" s="17"/>
      <c r="U30" s="17"/>
      <c r="V30" s="17"/>
      <c r="W30" s="19"/>
    </row>
    <row r="31" spans="1:23" ht="14.25" customHeight="1" x14ac:dyDescent="0.15">
      <c r="A31" s="121"/>
      <c r="B31" s="122"/>
      <c r="C31" s="122"/>
      <c r="D31" s="123" t="s">
        <v>48</v>
      </c>
      <c r="E31" s="101">
        <f t="shared" ref="E31:R31" si="14">STDEV(E20:E29)/SQRT(COUNT(E20:E29))</f>
        <v>120.92522963727541</v>
      </c>
      <c r="F31" s="102">
        <f t="shared" si="14"/>
        <v>3627.7832858602219</v>
      </c>
      <c r="G31" s="101">
        <f t="shared" si="14"/>
        <v>79.659438134020135</v>
      </c>
      <c r="H31" s="102">
        <f t="shared" si="14"/>
        <v>2389.8102152565257</v>
      </c>
      <c r="I31" s="101">
        <f t="shared" si="14"/>
        <v>133.02151794889343</v>
      </c>
      <c r="J31" s="102">
        <f t="shared" si="14"/>
        <v>3990.6759662507211</v>
      </c>
      <c r="K31" s="101">
        <f t="shared" si="14"/>
        <v>123.59907411323921</v>
      </c>
      <c r="L31" s="102">
        <f t="shared" si="14"/>
        <v>3708.0144885549385</v>
      </c>
      <c r="M31" s="101">
        <f t="shared" si="14"/>
        <v>135.76746286148381</v>
      </c>
      <c r="N31" s="102">
        <f t="shared" si="14"/>
        <v>4073.084680299643</v>
      </c>
      <c r="O31" s="101">
        <f t="shared" si="14"/>
        <v>108.78792048813767</v>
      </c>
      <c r="P31" s="102">
        <f t="shared" si="14"/>
        <v>3263.6633166731194</v>
      </c>
      <c r="Q31" s="101">
        <f t="shared" si="14"/>
        <v>564.57081505828592</v>
      </c>
      <c r="R31" s="102">
        <f t="shared" si="14"/>
        <v>2822.8873019385037</v>
      </c>
      <c r="S31" s="17"/>
      <c r="T31" s="17"/>
      <c r="U31" s="17"/>
      <c r="V31" s="17"/>
      <c r="W31" s="19"/>
    </row>
    <row r="32" spans="1:23" ht="14.25" customHeight="1" x14ac:dyDescent="0.15">
      <c r="A32" s="51" t="s">
        <v>58</v>
      </c>
      <c r="B32" s="40">
        <v>1</v>
      </c>
      <c r="C32" s="124" t="s">
        <v>85</v>
      </c>
      <c r="D32" s="184"/>
      <c r="E32" s="125"/>
      <c r="F32" s="128"/>
      <c r="G32" s="125"/>
      <c r="H32" s="176"/>
      <c r="I32" s="128"/>
      <c r="J32" s="128"/>
      <c r="K32" s="125"/>
      <c r="L32" s="176"/>
      <c r="M32" s="128"/>
      <c r="N32" s="128"/>
      <c r="O32" s="125"/>
      <c r="P32" s="176"/>
      <c r="Q32" s="80"/>
      <c r="R32" s="86"/>
      <c r="S32" s="17"/>
      <c r="T32" s="17"/>
      <c r="U32" s="17"/>
      <c r="V32" s="17"/>
      <c r="W32" s="19"/>
    </row>
    <row r="33" spans="1:23" ht="14.25" customHeight="1" x14ac:dyDescent="0.15">
      <c r="A33" s="208"/>
      <c r="B33" s="41">
        <v>2</v>
      </c>
      <c r="C33" s="124" t="s">
        <v>85</v>
      </c>
      <c r="D33" s="185"/>
      <c r="E33" s="129"/>
      <c r="F33" s="128"/>
      <c r="G33" s="129"/>
      <c r="H33" s="133"/>
      <c r="I33" s="128"/>
      <c r="J33" s="128"/>
      <c r="K33" s="129"/>
      <c r="L33" s="133"/>
      <c r="M33" s="128"/>
      <c r="N33" s="128"/>
      <c r="O33" s="129"/>
      <c r="P33" s="133"/>
      <c r="Q33" s="80"/>
      <c r="R33" s="86"/>
      <c r="S33" s="17"/>
      <c r="T33" s="17"/>
      <c r="U33" s="17"/>
      <c r="V33" s="17"/>
      <c r="W33" s="19"/>
    </row>
    <row r="34" spans="1:23" ht="14.25" customHeight="1" x14ac:dyDescent="0.15">
      <c r="A34" s="208"/>
      <c r="B34" s="43">
        <v>3</v>
      </c>
      <c r="C34" s="124" t="s">
        <v>85</v>
      </c>
      <c r="D34" s="185"/>
      <c r="E34" s="128"/>
      <c r="F34" s="128"/>
      <c r="G34" s="129"/>
      <c r="H34" s="133"/>
      <c r="I34" s="128"/>
      <c r="J34" s="128"/>
      <c r="K34" s="129"/>
      <c r="L34" s="133"/>
      <c r="M34" s="128"/>
      <c r="N34" s="128"/>
      <c r="O34" s="129"/>
      <c r="P34" s="133"/>
      <c r="Q34" s="80"/>
      <c r="R34" s="86"/>
      <c r="S34" s="17"/>
      <c r="T34" s="17"/>
      <c r="U34" s="17"/>
      <c r="V34" s="17"/>
      <c r="W34" s="19"/>
    </row>
    <row r="35" spans="1:23" ht="14.25" customHeight="1" x14ac:dyDescent="0.15">
      <c r="A35" s="42"/>
      <c r="B35" s="43">
        <v>4</v>
      </c>
      <c r="C35" s="124" t="s">
        <v>85</v>
      </c>
      <c r="D35" s="185"/>
      <c r="E35" s="128"/>
      <c r="F35" s="128"/>
      <c r="G35" s="129"/>
      <c r="H35" s="133"/>
      <c r="I35" s="128"/>
      <c r="J35" s="128"/>
      <c r="K35" s="129"/>
      <c r="L35" s="133"/>
      <c r="M35" s="128"/>
      <c r="N35" s="128"/>
      <c r="O35" s="129"/>
      <c r="P35" s="133"/>
      <c r="Q35" s="80"/>
      <c r="R35" s="86"/>
      <c r="S35" s="17"/>
      <c r="T35" s="17"/>
      <c r="U35" s="17"/>
      <c r="V35" s="17"/>
      <c r="W35" s="19"/>
    </row>
    <row r="36" spans="1:23" ht="14.25" customHeight="1" x14ac:dyDescent="0.15">
      <c r="A36" s="42"/>
      <c r="B36" s="43">
        <v>5</v>
      </c>
      <c r="C36" s="124" t="s">
        <v>85</v>
      </c>
      <c r="D36" s="185"/>
      <c r="E36" s="128"/>
      <c r="F36" s="128"/>
      <c r="G36" s="129"/>
      <c r="H36" s="133"/>
      <c r="I36" s="128"/>
      <c r="J36" s="128"/>
      <c r="K36" s="129"/>
      <c r="L36" s="133"/>
      <c r="M36" s="128"/>
      <c r="N36" s="128"/>
      <c r="O36" s="129"/>
      <c r="P36" s="133"/>
      <c r="Q36" s="80"/>
      <c r="R36" s="86"/>
      <c r="S36" s="17"/>
      <c r="T36" s="17"/>
      <c r="U36" s="17"/>
      <c r="V36" s="17"/>
      <c r="W36" s="19"/>
    </row>
    <row r="37" spans="1:23" ht="14.25" customHeight="1" x14ac:dyDescent="0.15">
      <c r="A37" s="42"/>
      <c r="B37" s="43">
        <v>6</v>
      </c>
      <c r="C37" s="124" t="s">
        <v>85</v>
      </c>
      <c r="D37" s="185"/>
      <c r="E37" s="128"/>
      <c r="F37" s="128"/>
      <c r="G37" s="129"/>
      <c r="H37" s="133"/>
      <c r="I37" s="128"/>
      <c r="J37" s="128"/>
      <c r="K37" s="129"/>
      <c r="L37" s="133"/>
      <c r="M37" s="128"/>
      <c r="N37" s="128"/>
      <c r="O37" s="129"/>
      <c r="P37" s="133"/>
      <c r="Q37" s="80"/>
      <c r="R37" s="86"/>
      <c r="S37" s="17"/>
      <c r="T37" s="17"/>
      <c r="U37" s="17"/>
      <c r="V37" s="17"/>
      <c r="W37" s="19"/>
    </row>
    <row r="38" spans="1:23" ht="14.25" customHeight="1" x14ac:dyDescent="0.15">
      <c r="A38" s="42"/>
      <c r="B38" s="43">
        <v>7</v>
      </c>
      <c r="C38" s="124" t="s">
        <v>85</v>
      </c>
      <c r="D38" s="186"/>
      <c r="E38" s="128"/>
      <c r="F38" s="128"/>
      <c r="G38" s="129"/>
      <c r="H38" s="133"/>
      <c r="I38" s="128"/>
      <c r="J38" s="128"/>
      <c r="K38" s="129"/>
      <c r="L38" s="133"/>
      <c r="M38" s="128"/>
      <c r="N38" s="128"/>
      <c r="O38" s="129"/>
      <c r="P38" s="133"/>
      <c r="Q38" s="80"/>
      <c r="R38" s="86"/>
      <c r="S38" s="17"/>
      <c r="T38" s="17"/>
      <c r="U38" s="17"/>
      <c r="V38" s="17"/>
      <c r="W38" s="19"/>
    </row>
    <row r="39" spans="1:23" ht="14.25" customHeight="1" x14ac:dyDescent="0.15">
      <c r="A39" s="42"/>
      <c r="B39" s="43">
        <v>8</v>
      </c>
      <c r="C39" s="124" t="s">
        <v>85</v>
      </c>
      <c r="D39" s="186"/>
      <c r="E39" s="128"/>
      <c r="F39" s="128"/>
      <c r="G39" s="129"/>
      <c r="H39" s="133"/>
      <c r="I39" s="128"/>
      <c r="J39" s="128"/>
      <c r="K39" s="129"/>
      <c r="L39" s="133"/>
      <c r="M39" s="128"/>
      <c r="N39" s="128"/>
      <c r="O39" s="129"/>
      <c r="P39" s="133"/>
      <c r="Q39" s="80"/>
      <c r="R39" s="86"/>
      <c r="S39" s="17"/>
      <c r="T39" s="17"/>
      <c r="U39" s="17"/>
      <c r="V39" s="17"/>
      <c r="W39" s="19"/>
    </row>
    <row r="40" spans="1:23" ht="14.25" customHeight="1" x14ac:dyDescent="0.15">
      <c r="A40" s="42"/>
      <c r="B40" s="43">
        <v>9</v>
      </c>
      <c r="C40" s="132"/>
      <c r="D40" s="131"/>
      <c r="E40" s="128"/>
      <c r="F40" s="128"/>
      <c r="G40" s="129"/>
      <c r="H40" s="133"/>
      <c r="I40" s="128"/>
      <c r="J40" s="128"/>
      <c r="K40" s="129"/>
      <c r="L40" s="133"/>
      <c r="M40" s="128"/>
      <c r="N40" s="128"/>
      <c r="O40" s="129"/>
      <c r="P40" s="133"/>
      <c r="Q40" s="129"/>
      <c r="R40" s="133"/>
      <c r="S40" s="17"/>
      <c r="T40" s="17"/>
      <c r="U40" s="17"/>
      <c r="V40" s="17"/>
      <c r="W40" s="19"/>
    </row>
    <row r="41" spans="1:23" ht="14.25" customHeight="1" x14ac:dyDescent="0.15">
      <c r="A41" s="42"/>
      <c r="B41" s="198">
        <v>10</v>
      </c>
      <c r="C41" s="199"/>
      <c r="D41" s="200"/>
      <c r="E41" s="128"/>
      <c r="F41" s="128"/>
      <c r="G41" s="134"/>
      <c r="H41" s="136"/>
      <c r="I41" s="128"/>
      <c r="J41" s="128"/>
      <c r="K41" s="134"/>
      <c r="L41" s="136"/>
      <c r="M41" s="128"/>
      <c r="N41" s="128"/>
      <c r="O41" s="134"/>
      <c r="P41" s="136"/>
      <c r="Q41" s="134"/>
      <c r="R41" s="136"/>
      <c r="S41" s="17"/>
      <c r="T41" s="17"/>
      <c r="U41" s="17"/>
      <c r="V41" s="17"/>
      <c r="W41" s="19"/>
    </row>
    <row r="42" spans="1:23" ht="14.25" customHeight="1" x14ac:dyDescent="0.15">
      <c r="A42" s="137"/>
      <c r="B42" s="138"/>
      <c r="C42" s="138"/>
      <c r="D42" s="139" t="s">
        <v>47</v>
      </c>
      <c r="E42" s="95" t="e">
        <f t="shared" ref="E42:R42" si="15">AVERAGE(E32:E41)</f>
        <v>#DIV/0!</v>
      </c>
      <c r="F42" s="96" t="e">
        <f t="shared" si="15"/>
        <v>#DIV/0!</v>
      </c>
      <c r="G42" s="95" t="e">
        <f t="shared" si="15"/>
        <v>#DIV/0!</v>
      </c>
      <c r="H42" s="96" t="e">
        <f t="shared" si="15"/>
        <v>#DIV/0!</v>
      </c>
      <c r="I42" s="95" t="e">
        <f t="shared" si="15"/>
        <v>#DIV/0!</v>
      </c>
      <c r="J42" s="96" t="e">
        <f t="shared" si="15"/>
        <v>#DIV/0!</v>
      </c>
      <c r="K42" s="95" t="e">
        <f t="shared" si="15"/>
        <v>#DIV/0!</v>
      </c>
      <c r="L42" s="96" t="e">
        <f t="shared" si="15"/>
        <v>#DIV/0!</v>
      </c>
      <c r="M42" s="95" t="e">
        <f t="shared" si="15"/>
        <v>#DIV/0!</v>
      </c>
      <c r="N42" s="96" t="e">
        <f t="shared" si="15"/>
        <v>#DIV/0!</v>
      </c>
      <c r="O42" s="95" t="e">
        <f t="shared" si="15"/>
        <v>#DIV/0!</v>
      </c>
      <c r="P42" s="96" t="e">
        <f t="shared" si="15"/>
        <v>#DIV/0!</v>
      </c>
      <c r="Q42" s="95" t="e">
        <f t="shared" si="15"/>
        <v>#DIV/0!</v>
      </c>
      <c r="R42" s="96" t="e">
        <f t="shared" si="15"/>
        <v>#DIV/0!</v>
      </c>
      <c r="S42" s="17"/>
      <c r="T42" s="17"/>
      <c r="U42" s="17"/>
      <c r="V42" s="17"/>
      <c r="W42" s="19"/>
    </row>
    <row r="43" spans="1:23" ht="14.25" customHeight="1" x14ac:dyDescent="0.15">
      <c r="A43" s="140"/>
      <c r="B43" s="141"/>
      <c r="C43" s="141"/>
      <c r="D43" s="142" t="s">
        <v>48</v>
      </c>
      <c r="E43" s="101" t="e">
        <f t="shared" ref="E43:R43" si="16">STDEV(E32:E41)/SQRT(COUNT(E32:E41))</f>
        <v>#DIV/0!</v>
      </c>
      <c r="F43" s="102" t="e">
        <f t="shared" si="16"/>
        <v>#DIV/0!</v>
      </c>
      <c r="G43" s="101" t="e">
        <f t="shared" si="16"/>
        <v>#DIV/0!</v>
      </c>
      <c r="H43" s="102" t="e">
        <f t="shared" si="16"/>
        <v>#DIV/0!</v>
      </c>
      <c r="I43" s="101" t="e">
        <f t="shared" si="16"/>
        <v>#DIV/0!</v>
      </c>
      <c r="J43" s="102" t="e">
        <f t="shared" si="16"/>
        <v>#DIV/0!</v>
      </c>
      <c r="K43" s="101" t="e">
        <f t="shared" si="16"/>
        <v>#DIV/0!</v>
      </c>
      <c r="L43" s="102" t="e">
        <f t="shared" si="16"/>
        <v>#DIV/0!</v>
      </c>
      <c r="M43" s="101" t="e">
        <f t="shared" si="16"/>
        <v>#DIV/0!</v>
      </c>
      <c r="N43" s="102" t="e">
        <f t="shared" si="16"/>
        <v>#DIV/0!</v>
      </c>
      <c r="O43" s="101" t="e">
        <f t="shared" si="16"/>
        <v>#DIV/0!</v>
      </c>
      <c r="P43" s="102" t="e">
        <f t="shared" si="16"/>
        <v>#DIV/0!</v>
      </c>
      <c r="Q43" s="101" t="e">
        <f t="shared" si="16"/>
        <v>#DIV/0!</v>
      </c>
      <c r="R43" s="102" t="e">
        <f t="shared" si="16"/>
        <v>#DIV/0!</v>
      </c>
      <c r="S43" s="17"/>
      <c r="T43" s="17"/>
      <c r="U43" s="17"/>
      <c r="V43" s="17"/>
      <c r="W43" s="19"/>
    </row>
    <row r="44" spans="1:23" ht="14.25" customHeight="1" x14ac:dyDescent="0.15">
      <c r="A44" s="52" t="s">
        <v>64</v>
      </c>
      <c r="B44" s="53">
        <v>1</v>
      </c>
      <c r="C44" s="143" t="s">
        <v>85</v>
      </c>
      <c r="D44" s="187"/>
      <c r="E44" s="125"/>
      <c r="F44" s="128"/>
      <c r="G44" s="125"/>
      <c r="H44" s="176"/>
      <c r="I44" s="128"/>
      <c r="J44" s="128"/>
      <c r="K44" s="125"/>
      <c r="L44" s="176"/>
      <c r="M44" s="128"/>
      <c r="N44" s="128"/>
      <c r="O44" s="125"/>
      <c r="P44" s="176"/>
      <c r="Q44" s="80"/>
      <c r="R44" s="86"/>
      <c r="S44" s="17"/>
      <c r="T44" s="17"/>
      <c r="U44" s="17"/>
      <c r="V44" s="17"/>
      <c r="W44" s="19"/>
    </row>
    <row r="45" spans="1:23" ht="14.25" customHeight="1" x14ac:dyDescent="0.15">
      <c r="A45" s="209"/>
      <c r="B45" s="54">
        <v>2</v>
      </c>
      <c r="C45" s="143" t="s">
        <v>85</v>
      </c>
      <c r="D45" s="187"/>
      <c r="E45" s="129"/>
      <c r="F45" s="128"/>
      <c r="G45" s="129"/>
      <c r="H45" s="133"/>
      <c r="I45" s="128"/>
      <c r="J45" s="128"/>
      <c r="K45" s="129"/>
      <c r="L45" s="133"/>
      <c r="M45" s="128"/>
      <c r="N45" s="128"/>
      <c r="O45" s="129"/>
      <c r="P45" s="133"/>
      <c r="Q45" s="80"/>
      <c r="R45" s="86"/>
      <c r="S45" s="17"/>
      <c r="T45" s="17"/>
      <c r="U45" s="17"/>
      <c r="V45" s="17"/>
      <c r="W45" s="19"/>
    </row>
    <row r="46" spans="1:23" ht="14.25" customHeight="1" x14ac:dyDescent="0.15">
      <c r="A46" s="209"/>
      <c r="B46" s="56">
        <v>3</v>
      </c>
      <c r="C46" s="143" t="s">
        <v>85</v>
      </c>
      <c r="D46" s="188"/>
      <c r="E46" s="128"/>
      <c r="F46" s="128"/>
      <c r="G46" s="129"/>
      <c r="H46" s="133"/>
      <c r="I46" s="128"/>
      <c r="J46" s="128"/>
      <c r="K46" s="129"/>
      <c r="L46" s="133"/>
      <c r="M46" s="128"/>
      <c r="N46" s="128"/>
      <c r="O46" s="129"/>
      <c r="P46" s="133"/>
      <c r="Q46" s="80"/>
      <c r="R46" s="86"/>
      <c r="S46" s="17"/>
      <c r="T46" s="17"/>
      <c r="U46" s="17"/>
      <c r="V46" s="17"/>
      <c r="W46" s="19"/>
    </row>
    <row r="47" spans="1:23" ht="14.25" customHeight="1" x14ac:dyDescent="0.15">
      <c r="A47" s="55"/>
      <c r="B47" s="56">
        <v>4</v>
      </c>
      <c r="C47" s="143" t="s">
        <v>85</v>
      </c>
      <c r="D47" s="188"/>
      <c r="E47" s="128"/>
      <c r="F47" s="128"/>
      <c r="G47" s="129"/>
      <c r="H47" s="133"/>
      <c r="I47" s="128"/>
      <c r="J47" s="128"/>
      <c r="K47" s="129"/>
      <c r="L47" s="133"/>
      <c r="M47" s="128"/>
      <c r="N47" s="128"/>
      <c r="O47" s="129"/>
      <c r="P47" s="133"/>
      <c r="Q47" s="80"/>
      <c r="R47" s="86"/>
      <c r="S47" s="17"/>
      <c r="T47" s="17"/>
      <c r="U47" s="17"/>
      <c r="V47" s="17"/>
      <c r="W47" s="19"/>
    </row>
    <row r="48" spans="1:23" ht="14.25" customHeight="1" x14ac:dyDescent="0.15">
      <c r="A48" s="55"/>
      <c r="B48" s="56">
        <v>5</v>
      </c>
      <c r="C48" s="143" t="s">
        <v>85</v>
      </c>
      <c r="D48" s="188"/>
      <c r="E48" s="128"/>
      <c r="F48" s="128"/>
      <c r="G48" s="129"/>
      <c r="H48" s="133"/>
      <c r="I48" s="128"/>
      <c r="J48" s="128"/>
      <c r="K48" s="129"/>
      <c r="L48" s="133"/>
      <c r="M48" s="128"/>
      <c r="N48" s="128"/>
      <c r="O48" s="129"/>
      <c r="P48" s="133"/>
      <c r="Q48" s="80"/>
      <c r="R48" s="86"/>
      <c r="S48" s="17"/>
      <c r="T48" s="17"/>
      <c r="U48" s="17"/>
      <c r="V48" s="17"/>
      <c r="W48" s="19"/>
    </row>
    <row r="49" spans="1:23" ht="14.25" customHeight="1" x14ac:dyDescent="0.15">
      <c r="A49" s="55"/>
      <c r="B49" s="56">
        <v>6</v>
      </c>
      <c r="C49" s="143" t="s">
        <v>85</v>
      </c>
      <c r="D49" s="188"/>
      <c r="E49" s="128"/>
      <c r="F49" s="128"/>
      <c r="G49" s="129"/>
      <c r="H49" s="133"/>
      <c r="I49" s="128"/>
      <c r="J49" s="128"/>
      <c r="K49" s="129"/>
      <c r="L49" s="133"/>
      <c r="M49" s="128"/>
      <c r="N49" s="128"/>
      <c r="O49" s="129"/>
      <c r="P49" s="133"/>
      <c r="Q49" s="80"/>
      <c r="R49" s="86"/>
      <c r="S49" s="17"/>
      <c r="T49" s="17"/>
      <c r="U49" s="17"/>
      <c r="V49" s="17"/>
      <c r="W49" s="19"/>
    </row>
    <row r="50" spans="1:23" ht="14.25" customHeight="1" x14ac:dyDescent="0.15">
      <c r="A50" s="55"/>
      <c r="B50" s="56">
        <v>7</v>
      </c>
      <c r="C50" s="143" t="s">
        <v>85</v>
      </c>
      <c r="D50" s="189"/>
      <c r="E50" s="128"/>
      <c r="F50" s="128"/>
      <c r="G50" s="129"/>
      <c r="H50" s="133"/>
      <c r="I50" s="128"/>
      <c r="J50" s="128"/>
      <c r="K50" s="129"/>
      <c r="L50" s="133"/>
      <c r="M50" s="128"/>
      <c r="N50" s="128"/>
      <c r="O50" s="129"/>
      <c r="P50" s="133"/>
      <c r="Q50" s="80"/>
      <c r="R50" s="86"/>
      <c r="S50" s="17"/>
      <c r="T50" s="17"/>
      <c r="U50" s="17"/>
      <c r="V50" s="17"/>
      <c r="W50" s="19"/>
    </row>
    <row r="51" spans="1:23" ht="14.25" customHeight="1" x14ac:dyDescent="0.15">
      <c r="A51" s="55"/>
      <c r="B51" s="56">
        <v>8</v>
      </c>
      <c r="C51" s="143" t="s">
        <v>85</v>
      </c>
      <c r="D51" s="189"/>
      <c r="E51" s="128"/>
      <c r="F51" s="128"/>
      <c r="G51" s="129"/>
      <c r="H51" s="133"/>
      <c r="I51" s="128"/>
      <c r="J51" s="128"/>
      <c r="K51" s="129"/>
      <c r="L51" s="133"/>
      <c r="M51" s="128"/>
      <c r="N51" s="128"/>
      <c r="O51" s="129"/>
      <c r="P51" s="133"/>
      <c r="Q51" s="80"/>
      <c r="R51" s="86"/>
      <c r="S51" s="17"/>
      <c r="T51" s="17"/>
      <c r="U51" s="17"/>
      <c r="V51" s="17"/>
      <c r="W51" s="19"/>
    </row>
    <row r="52" spans="1:23" ht="14.25" customHeight="1" x14ac:dyDescent="0.15">
      <c r="A52" s="55"/>
      <c r="B52" s="56">
        <v>9</v>
      </c>
      <c r="C52" s="145"/>
      <c r="D52" s="144"/>
      <c r="E52" s="128"/>
      <c r="F52" s="128"/>
      <c r="G52" s="129"/>
      <c r="H52" s="133"/>
      <c r="I52" s="128"/>
      <c r="J52" s="128"/>
      <c r="K52" s="129"/>
      <c r="L52" s="133"/>
      <c r="M52" s="128"/>
      <c r="N52" s="128"/>
      <c r="O52" s="129"/>
      <c r="P52" s="133"/>
      <c r="Q52" s="129"/>
      <c r="R52" s="133"/>
      <c r="S52" s="17"/>
      <c r="T52" s="17"/>
      <c r="U52" s="17"/>
      <c r="V52" s="17"/>
      <c r="W52" s="19"/>
    </row>
    <row r="53" spans="1:23" ht="14.25" customHeight="1" x14ac:dyDescent="0.15">
      <c r="A53" s="55"/>
      <c r="B53" s="201">
        <v>10</v>
      </c>
      <c r="C53" s="202"/>
      <c r="D53" s="203"/>
      <c r="E53" s="128"/>
      <c r="F53" s="128"/>
      <c r="G53" s="134"/>
      <c r="H53" s="136"/>
      <c r="I53" s="128"/>
      <c r="J53" s="128"/>
      <c r="K53" s="134"/>
      <c r="L53" s="136"/>
      <c r="M53" s="128"/>
      <c r="N53" s="128"/>
      <c r="O53" s="134"/>
      <c r="P53" s="136"/>
      <c r="Q53" s="134"/>
      <c r="R53" s="136"/>
      <c r="S53" s="17"/>
      <c r="T53" s="17"/>
      <c r="U53" s="17"/>
      <c r="V53" s="17"/>
      <c r="W53" s="19"/>
    </row>
    <row r="54" spans="1:23" ht="14.25" customHeight="1" x14ac:dyDescent="0.15">
      <c r="A54" s="146"/>
      <c r="B54" s="147"/>
      <c r="C54" s="147"/>
      <c r="D54" s="148" t="s">
        <v>47</v>
      </c>
      <c r="E54" s="95" t="e">
        <f t="shared" ref="E54:R54" si="17">AVERAGE(E44:E53)</f>
        <v>#DIV/0!</v>
      </c>
      <c r="F54" s="96" t="e">
        <f t="shared" si="17"/>
        <v>#DIV/0!</v>
      </c>
      <c r="G54" s="95" t="e">
        <f t="shared" si="17"/>
        <v>#DIV/0!</v>
      </c>
      <c r="H54" s="96" t="e">
        <f t="shared" si="17"/>
        <v>#DIV/0!</v>
      </c>
      <c r="I54" s="95" t="e">
        <f t="shared" si="17"/>
        <v>#DIV/0!</v>
      </c>
      <c r="J54" s="96" t="e">
        <f t="shared" si="17"/>
        <v>#DIV/0!</v>
      </c>
      <c r="K54" s="95" t="e">
        <f t="shared" si="17"/>
        <v>#DIV/0!</v>
      </c>
      <c r="L54" s="96" t="e">
        <f t="shared" si="17"/>
        <v>#DIV/0!</v>
      </c>
      <c r="M54" s="95" t="e">
        <f t="shared" si="17"/>
        <v>#DIV/0!</v>
      </c>
      <c r="N54" s="96" t="e">
        <f t="shared" si="17"/>
        <v>#DIV/0!</v>
      </c>
      <c r="O54" s="95" t="e">
        <f t="shared" si="17"/>
        <v>#DIV/0!</v>
      </c>
      <c r="P54" s="96" t="e">
        <f t="shared" si="17"/>
        <v>#DIV/0!</v>
      </c>
      <c r="Q54" s="95" t="e">
        <f t="shared" si="17"/>
        <v>#DIV/0!</v>
      </c>
      <c r="R54" s="96" t="e">
        <f t="shared" si="17"/>
        <v>#DIV/0!</v>
      </c>
      <c r="S54" s="17"/>
      <c r="T54" s="17"/>
      <c r="U54" s="17"/>
      <c r="V54" s="17"/>
      <c r="W54" s="19"/>
    </row>
    <row r="55" spans="1:23" ht="14.25" customHeight="1" x14ac:dyDescent="0.15">
      <c r="A55" s="149"/>
      <c r="B55" s="150"/>
      <c r="C55" s="150"/>
      <c r="D55" s="151" t="s">
        <v>48</v>
      </c>
      <c r="E55" s="101" t="e">
        <f t="shared" ref="E55:R55" si="18">STDEV(E44:E53)/SQRT(COUNT(E44:E53))</f>
        <v>#DIV/0!</v>
      </c>
      <c r="F55" s="102" t="e">
        <f t="shared" si="18"/>
        <v>#DIV/0!</v>
      </c>
      <c r="G55" s="101" t="e">
        <f t="shared" si="18"/>
        <v>#DIV/0!</v>
      </c>
      <c r="H55" s="102" t="e">
        <f t="shared" si="18"/>
        <v>#DIV/0!</v>
      </c>
      <c r="I55" s="101" t="e">
        <f t="shared" si="18"/>
        <v>#DIV/0!</v>
      </c>
      <c r="J55" s="102" t="e">
        <f t="shared" si="18"/>
        <v>#DIV/0!</v>
      </c>
      <c r="K55" s="101" t="e">
        <f t="shared" si="18"/>
        <v>#DIV/0!</v>
      </c>
      <c r="L55" s="102" t="e">
        <f t="shared" si="18"/>
        <v>#DIV/0!</v>
      </c>
      <c r="M55" s="101" t="e">
        <f t="shared" si="18"/>
        <v>#DIV/0!</v>
      </c>
      <c r="N55" s="102" t="e">
        <f t="shared" si="18"/>
        <v>#DIV/0!</v>
      </c>
      <c r="O55" s="101" t="e">
        <f t="shared" si="18"/>
        <v>#DIV/0!</v>
      </c>
      <c r="P55" s="102" t="e">
        <f t="shared" si="18"/>
        <v>#DIV/0!</v>
      </c>
      <c r="Q55" s="101" t="e">
        <f t="shared" si="18"/>
        <v>#DIV/0!</v>
      </c>
      <c r="R55" s="102" t="e">
        <f t="shared" si="18"/>
        <v>#DIV/0!</v>
      </c>
      <c r="S55" s="17"/>
      <c r="T55" s="17"/>
      <c r="U55" s="17"/>
      <c r="V55" s="17"/>
      <c r="W55" s="19"/>
    </row>
    <row r="56" spans="1:23" ht="14.25" customHeight="1" x14ac:dyDescent="0.15">
      <c r="A56" s="152"/>
      <c r="B56" s="152"/>
      <c r="C56" s="152" t="s">
        <v>50</v>
      </c>
      <c r="D56" s="152" t="s">
        <v>51</v>
      </c>
      <c r="E56" s="153">
        <f>TTEST(E8:E17,E20:E29,2,2)</f>
        <v>0.30510054027195127</v>
      </c>
      <c r="F56" s="153">
        <f t="shared" ref="F56:R56" si="19">TTEST(F8:F17,F20:F29,2,2)</f>
        <v>0.30509309201749624</v>
      </c>
      <c r="G56" s="153">
        <f t="shared" ref="G56:P56" si="20">TTEST(G8:G17,G20:G29,2,2)</f>
        <v>9.7801355959980362E-3</v>
      </c>
      <c r="H56" s="153">
        <f t="shared" si="20"/>
        <v>9.7800853844884489E-3</v>
      </c>
      <c r="I56" s="153">
        <f t="shared" si="20"/>
        <v>0.23506467378614138</v>
      </c>
      <c r="J56" s="153">
        <f t="shared" si="20"/>
        <v>0.23506264946724892</v>
      </c>
      <c r="K56" s="153">
        <f t="shared" si="20"/>
        <v>0.13981473676771361</v>
      </c>
      <c r="L56" s="153">
        <f t="shared" si="20"/>
        <v>0.13981481764159412</v>
      </c>
      <c r="M56" s="153">
        <f t="shared" si="20"/>
        <v>0.94796806817798929</v>
      </c>
      <c r="N56" s="153">
        <f t="shared" si="20"/>
        <v>0.94797535561126045</v>
      </c>
      <c r="O56" s="153">
        <f t="shared" si="20"/>
        <v>1.0131624059338314E-2</v>
      </c>
      <c r="P56" s="153">
        <f t="shared" si="20"/>
        <v>1.01313828587402E-2</v>
      </c>
      <c r="Q56" s="153">
        <f t="shared" si="19"/>
        <v>8.9047031361378953E-2</v>
      </c>
      <c r="R56" s="153">
        <f t="shared" si="19"/>
        <v>8.9046523567836072E-2</v>
      </c>
      <c r="S56" s="17"/>
      <c r="T56" s="17"/>
      <c r="U56" s="17"/>
      <c r="V56" s="17"/>
      <c r="W56" s="19"/>
    </row>
    <row r="57" spans="1:23" ht="14.25" customHeight="1" x14ac:dyDescent="0.15">
      <c r="A57" s="152"/>
      <c r="B57" s="152"/>
      <c r="C57" s="152"/>
      <c r="D57" s="152" t="s">
        <v>59</v>
      </c>
      <c r="E57" s="153" t="e">
        <f>TTEST(E8:E17,E32:E41,2,2)</f>
        <v>#DIV/0!</v>
      </c>
      <c r="F57" s="153" t="e">
        <f t="shared" ref="F57:R57" si="21">TTEST(F8:F17,F32:F41,2,2)</f>
        <v>#DIV/0!</v>
      </c>
      <c r="G57" s="153" t="e">
        <f t="shared" ref="G57:P57" si="22">TTEST(G8:G17,G32:G41,2,2)</f>
        <v>#DIV/0!</v>
      </c>
      <c r="H57" s="153" t="e">
        <f t="shared" si="22"/>
        <v>#DIV/0!</v>
      </c>
      <c r="I57" s="153" t="e">
        <f t="shared" si="22"/>
        <v>#DIV/0!</v>
      </c>
      <c r="J57" s="153" t="e">
        <f t="shared" si="22"/>
        <v>#DIV/0!</v>
      </c>
      <c r="K57" s="153" t="e">
        <f t="shared" si="22"/>
        <v>#DIV/0!</v>
      </c>
      <c r="L57" s="153" t="e">
        <f t="shared" si="22"/>
        <v>#DIV/0!</v>
      </c>
      <c r="M57" s="153" t="e">
        <f t="shared" si="22"/>
        <v>#DIV/0!</v>
      </c>
      <c r="N57" s="153" t="e">
        <f t="shared" si="22"/>
        <v>#DIV/0!</v>
      </c>
      <c r="O57" s="153" t="e">
        <f t="shared" si="22"/>
        <v>#DIV/0!</v>
      </c>
      <c r="P57" s="153" t="e">
        <f t="shared" si="22"/>
        <v>#DIV/0!</v>
      </c>
      <c r="Q57" s="153" t="e">
        <f t="shared" si="21"/>
        <v>#DIV/0!</v>
      </c>
      <c r="R57" s="153" t="e">
        <f t="shared" si="21"/>
        <v>#DIV/0!</v>
      </c>
      <c r="S57" s="17"/>
      <c r="T57" s="17"/>
      <c r="U57" s="17"/>
      <c r="V57" s="17"/>
      <c r="W57" s="19"/>
    </row>
    <row r="58" spans="1:23" ht="14.25" customHeight="1" x14ac:dyDescent="0.15">
      <c r="A58" s="152"/>
      <c r="B58" s="152"/>
      <c r="C58" s="152"/>
      <c r="D58" s="152" t="s">
        <v>65</v>
      </c>
      <c r="E58" s="153" t="e">
        <f>TTEST(E8:E17,E44:E53,2,2)</f>
        <v>#DIV/0!</v>
      </c>
      <c r="F58" s="153" t="e">
        <f t="shared" ref="F58:R58" si="23">TTEST(F8:F17,F44:F53,2,2)</f>
        <v>#DIV/0!</v>
      </c>
      <c r="G58" s="153" t="e">
        <f t="shared" ref="G58:P58" si="24">TTEST(G8:G17,G44:G53,2,2)</f>
        <v>#DIV/0!</v>
      </c>
      <c r="H58" s="153" t="e">
        <f t="shared" si="24"/>
        <v>#DIV/0!</v>
      </c>
      <c r="I58" s="153" t="e">
        <f t="shared" si="24"/>
        <v>#DIV/0!</v>
      </c>
      <c r="J58" s="153" t="e">
        <f t="shared" si="24"/>
        <v>#DIV/0!</v>
      </c>
      <c r="K58" s="153" t="e">
        <f t="shared" si="24"/>
        <v>#DIV/0!</v>
      </c>
      <c r="L58" s="153" t="e">
        <f t="shared" si="24"/>
        <v>#DIV/0!</v>
      </c>
      <c r="M58" s="153" t="e">
        <f t="shared" si="24"/>
        <v>#DIV/0!</v>
      </c>
      <c r="N58" s="153" t="e">
        <f t="shared" si="24"/>
        <v>#DIV/0!</v>
      </c>
      <c r="O58" s="153" t="e">
        <f t="shared" si="24"/>
        <v>#DIV/0!</v>
      </c>
      <c r="P58" s="153" t="e">
        <f t="shared" si="24"/>
        <v>#DIV/0!</v>
      </c>
      <c r="Q58" s="153" t="e">
        <f t="shared" si="23"/>
        <v>#DIV/0!</v>
      </c>
      <c r="R58" s="153" t="e">
        <f t="shared" si="23"/>
        <v>#DIV/0!</v>
      </c>
      <c r="S58" s="17"/>
      <c r="T58" s="17"/>
      <c r="U58" s="17"/>
      <c r="V58" s="17"/>
      <c r="W58" s="19"/>
    </row>
    <row r="59" spans="1:23" ht="14.25" customHeight="1" x14ac:dyDescent="0.15">
      <c r="A59" s="152"/>
      <c r="B59" s="152"/>
      <c r="C59" s="152"/>
      <c r="D59" s="152" t="s">
        <v>60</v>
      </c>
      <c r="E59" s="153" t="e">
        <f>TTEST(E20:E29,E32:E41,2,2)</f>
        <v>#DIV/0!</v>
      </c>
      <c r="F59" s="153" t="e">
        <f t="shared" ref="F59:R59" si="25">TTEST(F20:F29,F32:F41,2,2)</f>
        <v>#DIV/0!</v>
      </c>
      <c r="G59" s="153" t="e">
        <f t="shared" si="25"/>
        <v>#DIV/0!</v>
      </c>
      <c r="H59" s="153" t="e">
        <f t="shared" si="25"/>
        <v>#DIV/0!</v>
      </c>
      <c r="I59" s="153" t="e">
        <f t="shared" si="25"/>
        <v>#DIV/0!</v>
      </c>
      <c r="J59" s="153" t="e">
        <f t="shared" si="25"/>
        <v>#DIV/0!</v>
      </c>
      <c r="K59" s="153" t="e">
        <f t="shared" si="25"/>
        <v>#DIV/0!</v>
      </c>
      <c r="L59" s="153" t="e">
        <f t="shared" si="25"/>
        <v>#DIV/0!</v>
      </c>
      <c r="M59" s="153" t="e">
        <f t="shared" si="25"/>
        <v>#DIV/0!</v>
      </c>
      <c r="N59" s="153" t="e">
        <f t="shared" si="25"/>
        <v>#DIV/0!</v>
      </c>
      <c r="O59" s="153" t="e">
        <f t="shared" si="25"/>
        <v>#DIV/0!</v>
      </c>
      <c r="P59" s="153" t="e">
        <f t="shared" si="25"/>
        <v>#DIV/0!</v>
      </c>
      <c r="Q59" s="153" t="e">
        <f t="shared" si="25"/>
        <v>#DIV/0!</v>
      </c>
      <c r="R59" s="153" t="e">
        <f t="shared" si="25"/>
        <v>#DIV/0!</v>
      </c>
      <c r="S59" s="17"/>
      <c r="T59" s="17"/>
      <c r="U59" s="17"/>
      <c r="V59" s="17"/>
      <c r="W59" s="19"/>
    </row>
    <row r="60" spans="1:23" ht="14.25" customHeight="1" x14ac:dyDescent="0.15">
      <c r="A60" s="152"/>
      <c r="B60" s="152"/>
      <c r="C60" s="152"/>
      <c r="D60" s="152" t="s">
        <v>66</v>
      </c>
      <c r="E60" s="153" t="e">
        <f>TTEST(E20:E29,E44:E53,2,2)</f>
        <v>#DIV/0!</v>
      </c>
      <c r="F60" s="153" t="e">
        <f t="shared" ref="F60:R60" si="26">TTEST(F20:F29,F44:F53,2,2)</f>
        <v>#DIV/0!</v>
      </c>
      <c r="G60" s="153" t="e">
        <f t="shared" si="26"/>
        <v>#DIV/0!</v>
      </c>
      <c r="H60" s="153" t="e">
        <f t="shared" si="26"/>
        <v>#DIV/0!</v>
      </c>
      <c r="I60" s="153" t="e">
        <f t="shared" si="26"/>
        <v>#DIV/0!</v>
      </c>
      <c r="J60" s="153" t="e">
        <f t="shared" si="26"/>
        <v>#DIV/0!</v>
      </c>
      <c r="K60" s="153" t="e">
        <f t="shared" si="26"/>
        <v>#DIV/0!</v>
      </c>
      <c r="L60" s="153" t="e">
        <f t="shared" si="26"/>
        <v>#DIV/0!</v>
      </c>
      <c r="M60" s="153" t="e">
        <f t="shared" si="26"/>
        <v>#DIV/0!</v>
      </c>
      <c r="N60" s="153" t="e">
        <f t="shared" si="26"/>
        <v>#DIV/0!</v>
      </c>
      <c r="O60" s="153" t="e">
        <f t="shared" si="26"/>
        <v>#DIV/0!</v>
      </c>
      <c r="P60" s="153" t="e">
        <f t="shared" si="26"/>
        <v>#DIV/0!</v>
      </c>
      <c r="Q60" s="153" t="e">
        <f t="shared" si="26"/>
        <v>#DIV/0!</v>
      </c>
      <c r="R60" s="153" t="e">
        <f t="shared" si="26"/>
        <v>#DIV/0!</v>
      </c>
      <c r="S60" s="17"/>
      <c r="T60" s="17"/>
      <c r="U60" s="17"/>
      <c r="V60" s="17"/>
      <c r="W60" s="19"/>
    </row>
    <row r="61" spans="1:23" ht="14.25" customHeight="1" x14ac:dyDescent="0.15">
      <c r="A61" s="152"/>
      <c r="B61" s="152"/>
      <c r="C61" s="152"/>
      <c r="D61" s="152" t="s">
        <v>67</v>
      </c>
      <c r="E61" s="153" t="e">
        <f>TTEST(E32:E41,E44:E53,2,2)</f>
        <v>#DIV/0!</v>
      </c>
      <c r="F61" s="153" t="e">
        <f t="shared" ref="F61:R61" si="27">TTEST(F32:F41,F44:F53,2,2)</f>
        <v>#DIV/0!</v>
      </c>
      <c r="G61" s="153" t="e">
        <f t="shared" si="27"/>
        <v>#DIV/0!</v>
      </c>
      <c r="H61" s="153" t="e">
        <f t="shared" si="27"/>
        <v>#DIV/0!</v>
      </c>
      <c r="I61" s="153" t="e">
        <f t="shared" si="27"/>
        <v>#DIV/0!</v>
      </c>
      <c r="J61" s="153" t="e">
        <f t="shared" si="27"/>
        <v>#DIV/0!</v>
      </c>
      <c r="K61" s="153" t="e">
        <f t="shared" si="27"/>
        <v>#DIV/0!</v>
      </c>
      <c r="L61" s="153" t="e">
        <f t="shared" si="27"/>
        <v>#DIV/0!</v>
      </c>
      <c r="M61" s="153" t="e">
        <f t="shared" si="27"/>
        <v>#DIV/0!</v>
      </c>
      <c r="N61" s="153" t="e">
        <f t="shared" si="27"/>
        <v>#DIV/0!</v>
      </c>
      <c r="O61" s="153" t="e">
        <f t="shared" si="27"/>
        <v>#DIV/0!</v>
      </c>
      <c r="P61" s="153" t="e">
        <f t="shared" si="27"/>
        <v>#DIV/0!</v>
      </c>
      <c r="Q61" s="153" t="e">
        <f t="shared" si="27"/>
        <v>#DIV/0!</v>
      </c>
      <c r="R61" s="153" t="e">
        <f t="shared" si="27"/>
        <v>#DIV/0!</v>
      </c>
      <c r="S61" s="17"/>
      <c r="T61" s="17"/>
      <c r="U61" s="17"/>
      <c r="V61" s="17"/>
      <c r="W61" s="19"/>
    </row>
    <row r="62" spans="1:23" ht="14.25" customHeight="1" x14ac:dyDescent="0.15">
      <c r="A62" s="29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5"/>
    </row>
  </sheetData>
  <sheetProtection algorithmName="SHA-512" hashValue="Y4NaPG/XUDT0LNLoJTBEz9TcTb3nW/ge5XVAKNrgN+FX3ixRiQhlzVF6tmVdy0/hWT5JUz+MUt2T0A5aFM1t6g==" saltValue="4yBL9n0tFKb7ZuGGzWv+Ag==" spinCount="100000" sheet="1" objects="1" scenarios="1"/>
  <mergeCells count="11">
    <mergeCell ref="A9:A10"/>
    <mergeCell ref="A21:A22"/>
    <mergeCell ref="A33:A34"/>
    <mergeCell ref="A45:A46"/>
    <mergeCell ref="G5:H5"/>
    <mergeCell ref="E5:F5"/>
    <mergeCell ref="Q5:R5"/>
    <mergeCell ref="O5:P5"/>
    <mergeCell ref="M5:N5"/>
    <mergeCell ref="K5:L5"/>
    <mergeCell ref="I5:J5"/>
  </mergeCells>
  <phoneticPr fontId="16" type="noConversion"/>
  <conditionalFormatting sqref="E56:R61">
    <cfRule type="cellIs" dxfId="0" priority="1" operator="lessThan">
      <formula>0.05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7"/>
  <sheetViews>
    <sheetView workbookViewId="0">
      <selection activeCell="X1" sqref="X1"/>
    </sheetView>
  </sheetViews>
  <sheetFormatPr baseColWidth="10" defaultColWidth="9" defaultRowHeight="14" x14ac:dyDescent="0.15"/>
  <cols>
    <col min="1" max="16384" width="9" style="1"/>
  </cols>
  <sheetData>
    <row r="1" ht="20" customHeight="1" x14ac:dyDescent="0.15"/>
    <row r="17" ht="20.25" customHeight="1" x14ac:dyDescent="0.15"/>
  </sheetData>
  <sheetProtection algorithmName="SHA-512" hashValue="VhoikZnZ4TgmBcAD2fX4wM36YgFbm/8Fz/cLGiWswqEYguiLUizdwx/A5jTtOKSSVKYsRWJX9qXwEmNquftLVg==" saltValue="m3iRQbV4apQPDcspAfwwJw==" spinCount="100000" sheet="1" objects="1" scenarios="1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Center Zone</vt:lpstr>
      <vt:lpstr>Intermediate Zone</vt:lpstr>
      <vt:lpstr>Outer Zone</vt:lpstr>
      <vt:lpstr>Movement</vt:lpstr>
      <vt:lpstr>Distance &amp; Velocity</vt:lpstr>
      <vt:lpstr>Procedures &amp; References</vt:lpstr>
    </vt:vector>
  </TitlesOfParts>
  <Company>University of Michigan Health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Qi, Nathan</dc:creator>
  <cp:lastModifiedBy>Bu, Tiange</cp:lastModifiedBy>
  <cp:lastPrinted>2022-08-30T14:59:19Z</cp:lastPrinted>
  <dcterms:created xsi:type="dcterms:W3CDTF">2020-09-03T16:12:34Z</dcterms:created>
  <dcterms:modified xsi:type="dcterms:W3CDTF">2025-10-17T19:15:38Z</dcterms:modified>
</cp:coreProperties>
</file>